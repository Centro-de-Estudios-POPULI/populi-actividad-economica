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Y:\1. Página Web\2026 - 03. Marzo\Manufactura 12-25\"/>
    </mc:Choice>
  </mc:AlternateContent>
  <xr:revisionPtr revIDLastSave="0" documentId="13_ncr:1_{D3A78960-5A3D-48BE-9AE1-B4EBF4FFE5E7}" xr6:coauthVersionLast="47" xr6:coauthVersionMax="47" xr10:uidLastSave="{00000000-0000-0000-0000-000000000000}"/>
  <bookViews>
    <workbookView xWindow="-120" yWindow="-120" windowWidth="29040" windowHeight="15840" tabRatio="648" xr2:uid="{00000000-000D-0000-FFFF-FFFF00000000}"/>
  </bookViews>
  <sheets>
    <sheet name="cuadro_1" sheetId="14" r:id="rId1"/>
  </sheets>
  <definedNames>
    <definedName name="_xlnm.Print_Area" localSheetId="0">cuadro_1!$B$1:$K$9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14" l="1"/>
  <c r="D56" i="14"/>
  <c r="C56" i="14"/>
  <c r="E8" i="14"/>
  <c r="D8" i="14"/>
  <c r="C8" i="14"/>
  <c r="C14" i="14"/>
  <c r="E50" i="14"/>
  <c r="D50" i="14"/>
  <c r="C50" i="14"/>
  <c r="E44" i="14"/>
  <c r="D44" i="14"/>
  <c r="C44" i="14"/>
  <c r="E38" i="14"/>
  <c r="D38" i="14"/>
  <c r="C38" i="14"/>
  <c r="E32" i="14"/>
  <c r="D32" i="14"/>
  <c r="C32" i="14"/>
  <c r="E26" i="14"/>
  <c r="D26" i="14"/>
  <c r="C26" i="14"/>
  <c r="E20" i="14"/>
  <c r="D20" i="14"/>
  <c r="C20" i="14"/>
  <c r="E14" i="14"/>
  <c r="D14" i="14"/>
</calcChain>
</file>

<file path=xl/sharedStrings.xml><?xml version="1.0" encoding="utf-8"?>
<sst xmlns="http://schemas.openxmlformats.org/spreadsheetml/2006/main" count="48" uniqueCount="16">
  <si>
    <t xml:space="preserve">   Nota: La muestra utilizada para los índices, corresponde principalmente a empresas grandes y medianas.</t>
  </si>
  <si>
    <r>
      <rPr>
        <vertAlign val="superscript"/>
        <sz val="8"/>
        <color rgb="FF002060"/>
        <rFont val="Arial"/>
        <family val="2"/>
      </rPr>
      <t xml:space="preserve">     (p)</t>
    </r>
    <r>
      <rPr>
        <sz val="8"/>
        <color rgb="FF002060"/>
        <rFont val="Arial"/>
        <family val="2"/>
      </rPr>
      <t xml:space="preserve"> Preliminar</t>
    </r>
  </si>
  <si>
    <t>(Año de referencia 2017 - Base Móvil)</t>
  </si>
  <si>
    <r>
      <t>2025</t>
    </r>
    <r>
      <rPr>
        <b/>
        <vertAlign val="superscript"/>
        <sz val="10"/>
        <rFont val="Arial"/>
        <family val="2"/>
      </rPr>
      <t>(p)</t>
    </r>
  </si>
  <si>
    <r>
      <t>2024</t>
    </r>
    <r>
      <rPr>
        <b/>
        <vertAlign val="superscript"/>
        <sz val="10"/>
        <rFont val="Arial"/>
        <family val="2"/>
      </rPr>
      <t>(p)</t>
    </r>
  </si>
  <si>
    <r>
      <t>2023</t>
    </r>
    <r>
      <rPr>
        <b/>
        <vertAlign val="superscript"/>
        <sz val="10"/>
        <rFont val="Arial"/>
        <family val="2"/>
      </rPr>
      <t>(p)</t>
    </r>
  </si>
  <si>
    <t>BOLIVIA: SITUACIÓN ECONÓMICA DE LA INDUSTRIA MANUFACTURERA SEGUN AÑO Y TRIMESTRE 2017 - 2025</t>
  </si>
  <si>
    <t xml:space="preserve">   I    Trimestre </t>
  </si>
  <si>
    <t xml:space="preserve">   II   Trimestre </t>
  </si>
  <si>
    <t xml:space="preserve">   III  Trimestre </t>
  </si>
  <si>
    <t xml:space="preserve">   IV Trimestre </t>
  </si>
  <si>
    <t>PERIODO</t>
  </si>
  <si>
    <t>Fuente: Instituto Nacional de Estadística</t>
  </si>
  <si>
    <t xml:space="preserve"> INDUSTRIA MANUFACTUERA</t>
  </si>
  <si>
    <t xml:space="preserve">
OTRAS INDUSTRIAS MANUFACTURERAS</t>
  </si>
  <si>
    <t xml:space="preserve"> 
INDUSTRIA DE ALIMENTOS Y 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</si>
</sst>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.00"/>
    <numFmt numFmtId="165" formatCode="#,##0.00_ ;\-#,##0.00\ "/>
    <numFmt numFmtId="166" formatCode="#,##0.0\ _€;\-#,##0.0\ _€"/>
    <numFmt numFmtId="167" formatCode="0.0"/>
  </numFmts>
  <fonts count="19" x14ac:knownFonts="1">
    <font>
      <sz val="12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Courier"/>
      <family val="3"/>
    </font>
    <font>
      <sz val="12"/>
      <name val="Garamond"/>
      <family val="1"/>
    </font>
    <font>
      <sz val="10"/>
      <name val="Arial"/>
      <family val="2"/>
    </font>
    <font>
      <sz val="12"/>
      <name val="Arial"/>
      <family val="2"/>
    </font>
    <font>
      <sz val="8"/>
      <color rgb="FF002060"/>
      <name val="Arial"/>
      <family val="2"/>
    </font>
    <font>
      <vertAlign val="superscript"/>
      <sz val="8"/>
      <color rgb="FF002060"/>
      <name val="Arial"/>
      <family val="2"/>
    </font>
    <font>
      <b/>
      <sz val="10"/>
      <color rgb="FF17223D"/>
      <name val="Arial"/>
      <family val="2"/>
    </font>
    <font>
      <b/>
      <sz val="10"/>
      <color theme="0"/>
      <name val="Arial"/>
      <family val="2"/>
    </font>
    <font>
      <sz val="9"/>
      <color indexed="1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rgb="FF1C335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C5D9F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12">
    <xf numFmtId="0" fontId="0" fillId="0" borderId="0"/>
    <xf numFmtId="0" fontId="5" fillId="0" borderId="0">
      <protection locked="0"/>
    </xf>
    <xf numFmtId="164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/>
    <xf numFmtId="0" fontId="5" fillId="0" borderId="1">
      <protection locked="0"/>
    </xf>
    <xf numFmtId="0" fontId="4" fillId="0" borderId="0"/>
    <xf numFmtId="0" fontId="3" fillId="0" borderId="0"/>
    <xf numFmtId="0" fontId="2" fillId="0" borderId="0"/>
    <xf numFmtId="0" fontId="1" fillId="0" borderId="0"/>
    <xf numFmtId="0" fontId="9" fillId="0" borderId="0"/>
  </cellStyleXfs>
  <cellXfs count="29">
    <xf numFmtId="0" fontId="0" fillId="0" borderId="0" xfId="0"/>
    <xf numFmtId="0" fontId="8" fillId="2" borderId="0" xfId="5" applyFont="1" applyFill="1" applyAlignment="1">
      <alignment vertical="top"/>
    </xf>
    <xf numFmtId="0" fontId="8" fillId="0" borderId="0" xfId="5" applyFont="1" applyAlignment="1">
      <alignment vertical="top"/>
    </xf>
    <xf numFmtId="2" fontId="8" fillId="2" borderId="0" xfId="5" applyNumberFormat="1" applyFont="1" applyFill="1" applyAlignment="1">
      <alignment vertical="top"/>
    </xf>
    <xf numFmtId="0" fontId="10" fillId="2" borderId="0" xfId="5" applyFont="1" applyFill="1" applyAlignment="1">
      <alignment vertical="top"/>
    </xf>
    <xf numFmtId="0" fontId="13" fillId="0" borderId="0" xfId="11" applyFont="1" applyAlignment="1">
      <alignment vertical="center"/>
    </xf>
    <xf numFmtId="0" fontId="9" fillId="0" borderId="0" xfId="5" applyFont="1" applyAlignment="1">
      <alignment vertical="top"/>
    </xf>
    <xf numFmtId="165" fontId="9" fillId="2" borderId="0" xfId="5" applyNumberFormat="1" applyFont="1" applyFill="1" applyAlignment="1">
      <alignment vertical="top"/>
    </xf>
    <xf numFmtId="0" fontId="11" fillId="2" borderId="0" xfId="5" applyFont="1" applyFill="1" applyAlignment="1">
      <alignment horizontal="left" indent="1"/>
    </xf>
    <xf numFmtId="167" fontId="8" fillId="0" borderId="0" xfId="5" applyNumberFormat="1" applyFont="1" applyAlignment="1">
      <alignment vertical="top"/>
    </xf>
    <xf numFmtId="0" fontId="11" fillId="2" borderId="0" xfId="5" applyFont="1" applyFill="1" applyAlignment="1">
      <alignment horizontal="left"/>
    </xf>
    <xf numFmtId="166" fontId="9" fillId="0" borderId="4" xfId="5" applyNumberFormat="1" applyFont="1" applyBorder="1" applyAlignment="1">
      <alignment vertical="top"/>
    </xf>
    <xf numFmtId="0" fontId="14" fillId="3" borderId="2" xfId="5" applyFont="1" applyFill="1" applyBorder="1" applyAlignment="1">
      <alignment horizontal="center" vertical="center"/>
    </xf>
    <xf numFmtId="0" fontId="14" fillId="3" borderId="2" xfId="5" applyFont="1" applyFill="1" applyBorder="1" applyAlignment="1">
      <alignment horizontal="center" vertical="center" wrapText="1"/>
    </xf>
    <xf numFmtId="0" fontId="16" fillId="4" borderId="3" xfId="5" applyFont="1" applyFill="1" applyBorder="1" applyAlignment="1">
      <alignment horizontal="left" vertical="center"/>
    </xf>
    <xf numFmtId="166" fontId="16" fillId="4" borderId="4" xfId="5" applyNumberFormat="1" applyFont="1" applyFill="1" applyBorder="1" applyAlignment="1">
      <alignment horizontal="right" vertical="center"/>
    </xf>
    <xf numFmtId="0" fontId="9" fillId="0" borderId="4" xfId="5" applyFont="1" applyBorder="1" applyAlignment="1">
      <alignment horizontal="left" vertical="center"/>
    </xf>
    <xf numFmtId="166" fontId="9" fillId="0" borderId="4" xfId="5" applyNumberFormat="1" applyFont="1" applyBorder="1" applyAlignment="1">
      <alignment horizontal="right" vertical="center"/>
    </xf>
    <xf numFmtId="0" fontId="16" fillId="0" borderId="4" xfId="5" applyFont="1" applyBorder="1" applyAlignment="1">
      <alignment horizontal="left" vertical="center"/>
    </xf>
    <xf numFmtId="0" fontId="16" fillId="4" borderId="5" xfId="5" applyFont="1" applyFill="1" applyBorder="1" applyAlignment="1">
      <alignment horizontal="left" vertical="center"/>
    </xf>
    <xf numFmtId="166" fontId="16" fillId="4" borderId="6" xfId="5" applyNumberFormat="1" applyFont="1" applyFill="1" applyBorder="1" applyAlignment="1">
      <alignment horizontal="right" vertical="center"/>
    </xf>
    <xf numFmtId="166" fontId="9" fillId="0" borderId="6" xfId="5" applyNumberFormat="1" applyFont="1" applyBorder="1" applyAlignment="1">
      <alignment horizontal="right" vertical="center"/>
    </xf>
    <xf numFmtId="0" fontId="9" fillId="0" borderId="5" xfId="5" applyFont="1" applyBorder="1" applyAlignment="1">
      <alignment horizontal="left" vertical="center"/>
    </xf>
    <xf numFmtId="0" fontId="18" fillId="0" borderId="0" xfId="11" applyFont="1" applyAlignment="1">
      <alignment vertical="center"/>
    </xf>
    <xf numFmtId="0" fontId="9" fillId="0" borderId="7" xfId="5" applyFont="1" applyBorder="1" applyAlignment="1">
      <alignment horizontal="left" vertical="center"/>
    </xf>
    <xf numFmtId="166" fontId="9" fillId="0" borderId="8" xfId="5" applyNumberFormat="1" applyFont="1" applyBorder="1" applyAlignment="1">
      <alignment horizontal="right" vertical="center"/>
    </xf>
    <xf numFmtId="166" fontId="9" fillId="0" borderId="7" xfId="5" applyNumberFormat="1" applyFont="1" applyBorder="1" applyAlignment="1">
      <alignment vertical="top"/>
    </xf>
    <xf numFmtId="0" fontId="15" fillId="0" borderId="0" xfId="5" applyFont="1" applyAlignment="1">
      <alignment horizontal="left" vertical="center" wrapText="1"/>
    </xf>
    <xf numFmtId="0" fontId="18" fillId="0" borderId="0" xfId="5" applyFont="1" applyAlignment="1">
      <alignment horizontal="left" vertical="top" wrapText="1"/>
    </xf>
  </cellXfs>
  <cellStyles count="12">
    <cellStyle name="Date" xfId="1" xr:uid="{00000000-0005-0000-0000-000000000000}"/>
    <cellStyle name="Fixed" xfId="2" xr:uid="{00000000-0005-0000-0000-000001000000}"/>
    <cellStyle name="Heading1" xfId="3" xr:uid="{00000000-0005-0000-0000-000002000000}"/>
    <cellStyle name="Heading2" xfId="4" xr:uid="{00000000-0005-0000-0000-000003000000}"/>
    <cellStyle name="Normal" xfId="0" builtinId="0"/>
    <cellStyle name="Normal 10" xfId="11" xr:uid="{00000000-0005-0000-0000-000005000000}"/>
    <cellStyle name="Normal 2" xfId="7" xr:uid="{00000000-0005-0000-0000-000006000000}"/>
    <cellStyle name="Normal 3" xfId="8" xr:uid="{00000000-0005-0000-0000-000007000000}"/>
    <cellStyle name="Normal 6" xfId="9" xr:uid="{00000000-0005-0000-0000-000008000000}"/>
    <cellStyle name="Normal_INVOFIM A JUNIO DE 2003" xfId="5" xr:uid="{00000000-0005-0000-0000-000009000000}"/>
    <cellStyle name="style1545228365601 2" xfId="10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1C335D"/>
      <color rgb="FFFFFF99"/>
      <color rgb="FFCCFFFF"/>
      <color rgb="FFFFFFCC"/>
      <color rgb="FF99FF99"/>
      <color rgb="FF800000"/>
      <color rgb="FFCFFBFD"/>
      <color rgb="FFD5F3F7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846666"/>
    <xdr:pic>
      <xdr:nvPicPr>
        <xdr:cNvPr id="3" name="Picture 1">
          <a:extLst>
            <a:ext uri="{FF2B5EF4-FFF2-40B4-BE49-F238E27FC236}">
              <a16:creationId xmlns:a16="http://schemas.microsoft.com/office/drawing/2014/main" id="{20C2E0C5-BA93-49FE-9FC4-ADB4F3EEF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846666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65"/>
  <sheetViews>
    <sheetView showGridLines="0" tabSelected="1" zoomScaleNormal="100" workbookViewId="0">
      <selection activeCell="L7" sqref="L7"/>
    </sheetView>
  </sheetViews>
  <sheetFormatPr baseColWidth="10" defaultColWidth="8.88671875" defaultRowHeight="15.75" x14ac:dyDescent="0.2"/>
  <cols>
    <col min="1" max="1" width="1.21875" style="2" customWidth="1"/>
    <col min="2" max="2" width="13.44140625" style="2" customWidth="1"/>
    <col min="3" max="5" width="17" style="2" customWidth="1"/>
    <col min="6" max="10" width="6.21875" style="2" customWidth="1"/>
    <col min="11" max="11" width="6.33203125" style="2" bestFit="1" customWidth="1"/>
    <col min="12" max="15" width="6.21875" style="2" customWidth="1"/>
    <col min="16" max="21" width="6.33203125" style="2" bestFit="1" customWidth="1"/>
    <col min="22" max="16384" width="8.88671875" style="2"/>
  </cols>
  <sheetData>
    <row r="1" spans="2:18" ht="17.25" customHeight="1" x14ac:dyDescent="0.2"/>
    <row r="2" spans="2:18" ht="17.25" customHeight="1" x14ac:dyDescent="0.2"/>
    <row r="3" spans="2:18" ht="17.25" customHeight="1" x14ac:dyDescent="0.2"/>
    <row r="4" spans="2:18" ht="17.25" customHeight="1" x14ac:dyDescent="0.2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2:18" ht="29.25" customHeight="1" x14ac:dyDescent="0.2">
      <c r="B5" s="28" t="s">
        <v>6</v>
      </c>
      <c r="C5" s="28"/>
      <c r="D5" s="28"/>
      <c r="E5" s="28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2:18" ht="18" customHeight="1" x14ac:dyDescent="0.2">
      <c r="B6" s="23" t="s">
        <v>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2:18" ht="71.25" customHeight="1" x14ac:dyDescent="0.2">
      <c r="B7" s="12" t="s">
        <v>11</v>
      </c>
      <c r="C7" s="13" t="s">
        <v>13</v>
      </c>
      <c r="D7" s="13" t="s">
        <v>15</v>
      </c>
      <c r="E7" s="13" t="s">
        <v>14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18" ht="18" customHeight="1" x14ac:dyDescent="0.2">
      <c r="B8" s="14">
        <v>2017</v>
      </c>
      <c r="C8" s="15">
        <f>AVERAGE(C9:C12)</f>
        <v>-0.83654804541404992</v>
      </c>
      <c r="D8" s="15">
        <f>AVERAGE(D9:D12)</f>
        <v>-4.6532924763682155</v>
      </c>
      <c r="E8" s="15">
        <f>AVERAGE(E9:E12)</f>
        <v>2.2301323579820123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2:18" x14ac:dyDescent="0.2">
      <c r="B9" s="16" t="s">
        <v>7</v>
      </c>
      <c r="C9" s="17">
        <v>-24.501654869969201</v>
      </c>
      <c r="D9" s="11">
        <v>-7.0020121261577586</v>
      </c>
      <c r="E9" s="11">
        <v>-38.484563312198127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2:18" x14ac:dyDescent="0.2">
      <c r="B10" s="16" t="s">
        <v>8</v>
      </c>
      <c r="C10" s="17">
        <v>-4.8517331746632308</v>
      </c>
      <c r="D10" s="11">
        <v>-16.6682866882031</v>
      </c>
      <c r="E10" s="11">
        <v>4.5708904888826467</v>
      </c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8" x14ac:dyDescent="0.2">
      <c r="B11" s="16" t="s">
        <v>9</v>
      </c>
      <c r="C11" s="17">
        <v>12.18460121514863</v>
      </c>
      <c r="D11" s="11">
        <v>4.259050196915851</v>
      </c>
      <c r="E11" s="11">
        <v>18.608477902261608</v>
      </c>
      <c r="H11" s="3"/>
      <c r="I11" s="3"/>
      <c r="J11" s="3"/>
      <c r="K11" s="3"/>
      <c r="L11" s="3"/>
      <c r="M11" s="3"/>
      <c r="N11" s="3"/>
      <c r="O11" s="3"/>
      <c r="P11" s="3"/>
    </row>
    <row r="12" spans="2:18" x14ac:dyDescent="0.2">
      <c r="B12" s="16" t="s">
        <v>10</v>
      </c>
      <c r="C12" s="17">
        <v>13.8225946478276</v>
      </c>
      <c r="D12" s="11">
        <v>0.79807871197214553</v>
      </c>
      <c r="E12" s="11">
        <v>24.225724352981921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2:18" x14ac:dyDescent="0.2">
      <c r="B13" s="18"/>
      <c r="C13" s="17"/>
      <c r="D13" s="11"/>
      <c r="E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2:18" x14ac:dyDescent="0.2">
      <c r="B14" s="19">
        <v>2018</v>
      </c>
      <c r="C14" s="20">
        <f>AVERAGE(C15:C18)</f>
        <v>0.33489824981814786</v>
      </c>
      <c r="D14" s="15">
        <f>AVERAGE(D15:D18)</f>
        <v>7.2588867665535997</v>
      </c>
      <c r="E14" s="15">
        <f>AVERAGE(E15:E18)</f>
        <v>-5.1886099654818558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2:18" x14ac:dyDescent="0.2">
      <c r="B15" s="16" t="s">
        <v>7</v>
      </c>
      <c r="C15" s="17">
        <v>1.988381858598556</v>
      </c>
      <c r="D15" s="11">
        <v>8.4636807785547035</v>
      </c>
      <c r="E15" s="11">
        <v>-3.1756821503316019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2:18" x14ac:dyDescent="0.2">
      <c r="B16" s="16" t="s">
        <v>8</v>
      </c>
      <c r="C16" s="17">
        <v>-11.24694860898885</v>
      </c>
      <c r="D16" s="11">
        <v>-8.0654613348541488</v>
      </c>
      <c r="E16" s="11">
        <v>-13.79520089493667</v>
      </c>
    </row>
    <row r="17" spans="2:5" x14ac:dyDescent="0.2">
      <c r="B17" s="16" t="s">
        <v>9</v>
      </c>
      <c r="C17" s="17">
        <v>10.667052446006929</v>
      </c>
      <c r="D17" s="11">
        <v>2.2292498438255741</v>
      </c>
      <c r="E17" s="11">
        <v>17.408158306219129</v>
      </c>
    </row>
    <row r="18" spans="2:5" x14ac:dyDescent="0.2">
      <c r="B18" s="16" t="s">
        <v>10</v>
      </c>
      <c r="C18" s="17">
        <v>-6.8892696344043713E-2</v>
      </c>
      <c r="D18" s="11">
        <v>26.40807777868827</v>
      </c>
      <c r="E18" s="11">
        <v>-21.191715122878279</v>
      </c>
    </row>
    <row r="19" spans="2:5" x14ac:dyDescent="0.2">
      <c r="B19" s="18"/>
      <c r="C19" s="17"/>
      <c r="D19" s="11"/>
      <c r="E19" s="11"/>
    </row>
    <row r="20" spans="2:5" x14ac:dyDescent="0.2">
      <c r="B20" s="19">
        <v>2019</v>
      </c>
      <c r="C20" s="15">
        <f>AVERAGE(C21:C24)</f>
        <v>-17.563533099970265</v>
      </c>
      <c r="D20" s="15">
        <f>AVERAGE(D21:D24)</f>
        <v>-28.967524911919774</v>
      </c>
      <c r="E20" s="15">
        <f>AVERAGE(E21:E24)</f>
        <v>-9.3492829190581279</v>
      </c>
    </row>
    <row r="21" spans="2:5" x14ac:dyDescent="0.2">
      <c r="B21" s="16" t="s">
        <v>7</v>
      </c>
      <c r="C21" s="17">
        <v>-7.3413181962002199</v>
      </c>
      <c r="D21" s="11">
        <v>-8.6465055474382062</v>
      </c>
      <c r="E21" s="11">
        <v>-6.4082772252595017</v>
      </c>
    </row>
    <row r="22" spans="2:5" x14ac:dyDescent="0.2">
      <c r="B22" s="16" t="s">
        <v>8</v>
      </c>
      <c r="C22" s="17">
        <v>-22.863265854348441</v>
      </c>
      <c r="D22" s="11">
        <v>-58.091622682834732</v>
      </c>
      <c r="E22" s="11">
        <v>2.471966829496107</v>
      </c>
    </row>
    <row r="23" spans="2:5" x14ac:dyDescent="0.2">
      <c r="B23" s="16" t="s">
        <v>9</v>
      </c>
      <c r="C23" s="17">
        <v>-24.695557775440712</v>
      </c>
      <c r="D23" s="11">
        <v>-47.617701908198001</v>
      </c>
      <c r="E23" s="11">
        <v>-8.219089521045186</v>
      </c>
    </row>
    <row r="24" spans="2:5" x14ac:dyDescent="0.2">
      <c r="B24" s="16" t="s">
        <v>10</v>
      </c>
      <c r="C24" s="17">
        <v>-15.35399057389168</v>
      </c>
      <c r="D24" s="11">
        <v>-1.5142695092081591</v>
      </c>
      <c r="E24" s="11">
        <v>-25.241731759423931</v>
      </c>
    </row>
    <row r="25" spans="2:5" x14ac:dyDescent="0.2">
      <c r="B25" s="18"/>
      <c r="C25" s="17"/>
      <c r="D25" s="11"/>
      <c r="E25" s="11"/>
    </row>
    <row r="26" spans="2:5" x14ac:dyDescent="0.2">
      <c r="B26" s="19">
        <v>2020</v>
      </c>
      <c r="C26" s="15">
        <f>AVERAGE(C27:C30)</f>
        <v>-26.001813681686691</v>
      </c>
      <c r="D26" s="15">
        <f>AVERAGE(D27:D30)</f>
        <v>-48.696155053069269</v>
      </c>
      <c r="E26" s="15">
        <f>AVERAGE(E27:E30)</f>
        <v>-7.5205772557774475</v>
      </c>
    </row>
    <row r="27" spans="2:5" x14ac:dyDescent="0.2">
      <c r="B27" s="16" t="s">
        <v>7</v>
      </c>
      <c r="C27" s="17">
        <v>-17.79446503830366</v>
      </c>
      <c r="D27" s="11">
        <v>-51.653739146225107</v>
      </c>
      <c r="E27" s="11">
        <v>9.8523693285403766</v>
      </c>
    </row>
    <row r="28" spans="2:5" x14ac:dyDescent="0.2">
      <c r="B28" s="16" t="s">
        <v>8</v>
      </c>
      <c r="C28" s="17">
        <v>-38.480008615102562</v>
      </c>
      <c r="D28" s="11">
        <v>-72.620140442782798</v>
      </c>
      <c r="E28" s="11">
        <v>-10.710259367328749</v>
      </c>
    </row>
    <row r="29" spans="2:5" x14ac:dyDescent="0.2">
      <c r="B29" s="16" t="s">
        <v>9</v>
      </c>
      <c r="C29" s="17">
        <v>-22.210452600930768</v>
      </c>
      <c r="D29" s="11">
        <v>-49.34411020330402</v>
      </c>
      <c r="E29" s="11">
        <v>-0.13246285425054791</v>
      </c>
    </row>
    <row r="30" spans="2:5" x14ac:dyDescent="0.2">
      <c r="B30" s="16" t="s">
        <v>10</v>
      </c>
      <c r="C30" s="17">
        <v>-25.522328472409779</v>
      </c>
      <c r="D30" s="11">
        <v>-21.166630419965141</v>
      </c>
      <c r="E30" s="11">
        <v>-29.091956130070869</v>
      </c>
    </row>
    <row r="31" spans="2:5" x14ac:dyDescent="0.2">
      <c r="B31" s="18"/>
      <c r="C31" s="17"/>
      <c r="D31" s="11"/>
      <c r="E31" s="11"/>
    </row>
    <row r="32" spans="2:5" x14ac:dyDescent="0.2">
      <c r="B32" s="19">
        <v>2021</v>
      </c>
      <c r="C32" s="15">
        <f>AVERAGE(C33:C36)</f>
        <v>4.0858741140519106</v>
      </c>
      <c r="D32" s="15">
        <f>AVERAGE(D33:D36)</f>
        <v>-4.1210850616076815</v>
      </c>
      <c r="E32" s="15">
        <f>AVERAGE(E33:E36)</f>
        <v>13.484970033202167</v>
      </c>
    </row>
    <row r="33" spans="2:5" x14ac:dyDescent="0.2">
      <c r="B33" s="16" t="s">
        <v>7</v>
      </c>
      <c r="C33" s="17">
        <v>-19.311912581329089</v>
      </c>
      <c r="D33" s="11">
        <v>-32.231210406991238</v>
      </c>
      <c r="E33" s="11">
        <v>-4.5318236952457864</v>
      </c>
    </row>
    <row r="34" spans="2:5" x14ac:dyDescent="0.2">
      <c r="B34" s="16" t="s">
        <v>8</v>
      </c>
      <c r="C34" s="17">
        <v>-14.61232279874727</v>
      </c>
      <c r="D34" s="11">
        <v>-39.783078066815143</v>
      </c>
      <c r="E34" s="11">
        <v>14.19799884519473</v>
      </c>
    </row>
    <row r="35" spans="2:5" x14ac:dyDescent="0.2">
      <c r="B35" s="16" t="s">
        <v>9</v>
      </c>
      <c r="C35" s="17">
        <v>43.167729998276421</v>
      </c>
      <c r="D35" s="11">
        <v>41.177195843971688</v>
      </c>
      <c r="E35" s="11">
        <v>45.473385663934287</v>
      </c>
    </row>
    <row r="36" spans="2:5" x14ac:dyDescent="0.2">
      <c r="B36" s="16" t="s">
        <v>10</v>
      </c>
      <c r="C36" s="17">
        <v>7.1000018380075822</v>
      </c>
      <c r="D36" s="11">
        <v>14.35275238340396</v>
      </c>
      <c r="E36" s="11">
        <v>-1.1996806810745679</v>
      </c>
    </row>
    <row r="37" spans="2:5" x14ac:dyDescent="0.2">
      <c r="B37" s="18"/>
      <c r="C37" s="17"/>
      <c r="D37" s="11"/>
      <c r="E37" s="11"/>
    </row>
    <row r="38" spans="2:5" x14ac:dyDescent="0.2">
      <c r="B38" s="19">
        <v>2022</v>
      </c>
      <c r="C38" s="15">
        <f>AVERAGE(C39:C42)</f>
        <v>-10.969859992116779</v>
      </c>
      <c r="D38" s="15">
        <f>AVERAGE(D39:D42)</f>
        <v>-22.397446728597366</v>
      </c>
      <c r="E38" s="15">
        <f>AVERAGE(E39:E42)</f>
        <v>2.7088437262181246</v>
      </c>
    </row>
    <row r="39" spans="2:5" x14ac:dyDescent="0.2">
      <c r="B39" s="16" t="s">
        <v>7</v>
      </c>
      <c r="C39" s="17">
        <v>-18.211033508982819</v>
      </c>
      <c r="D39" s="11">
        <v>-27.84606660348415</v>
      </c>
      <c r="E39" s="11">
        <v>-6.6838975361127382</v>
      </c>
    </row>
    <row r="40" spans="2:5" x14ac:dyDescent="0.2">
      <c r="B40" s="16" t="s">
        <v>8</v>
      </c>
      <c r="C40" s="17">
        <v>-10.995653708682561</v>
      </c>
      <c r="D40" s="11">
        <v>-34.628352500329989</v>
      </c>
      <c r="E40" s="11">
        <v>17.30013915525198</v>
      </c>
    </row>
    <row r="41" spans="2:5" x14ac:dyDescent="0.2">
      <c r="B41" s="16" t="s">
        <v>9</v>
      </c>
      <c r="C41" s="17">
        <v>3.907062760795871</v>
      </c>
      <c r="D41" s="11">
        <v>3.5150204275707608</v>
      </c>
      <c r="E41" s="11">
        <v>4.3791530894915418</v>
      </c>
    </row>
    <row r="42" spans="2:5" x14ac:dyDescent="0.2">
      <c r="B42" s="16" t="s">
        <v>10</v>
      </c>
      <c r="C42" s="17">
        <v>-18.579815511597609</v>
      </c>
      <c r="D42" s="11">
        <v>-30.630388238146079</v>
      </c>
      <c r="E42" s="11">
        <v>-4.160019803758285</v>
      </c>
    </row>
    <row r="43" spans="2:5" x14ac:dyDescent="0.2">
      <c r="B43" s="18"/>
      <c r="C43" s="17"/>
      <c r="D43" s="11"/>
      <c r="E43" s="11"/>
    </row>
    <row r="44" spans="2:5" x14ac:dyDescent="0.2">
      <c r="B44" s="19" t="s">
        <v>5</v>
      </c>
      <c r="C44" s="15">
        <f>AVERAGE(C45:C48)</f>
        <v>11.046695908341857</v>
      </c>
      <c r="D44" s="15">
        <f>AVERAGE(D45:D48)</f>
        <v>9.026422834151667</v>
      </c>
      <c r="E44" s="15">
        <f>AVERAGE(E45:E48)</f>
        <v>13.078614289266131</v>
      </c>
    </row>
    <row r="45" spans="2:5" x14ac:dyDescent="0.2">
      <c r="B45" s="16" t="s">
        <v>7</v>
      </c>
      <c r="C45" s="17">
        <v>-18.347393829284119</v>
      </c>
      <c r="D45" s="11">
        <v>-50.542398170426416</v>
      </c>
      <c r="E45" s="11">
        <v>14.03318973164162</v>
      </c>
    </row>
    <row r="46" spans="2:5" x14ac:dyDescent="0.2">
      <c r="B46" s="16" t="s">
        <v>8</v>
      </c>
      <c r="C46" s="17">
        <v>1.013399560639858</v>
      </c>
      <c r="D46" s="11">
        <v>18.664221236794319</v>
      </c>
      <c r="E46" s="11">
        <v>-16.739165407128709</v>
      </c>
    </row>
    <row r="47" spans="2:5" x14ac:dyDescent="0.2">
      <c r="B47" s="16" t="s">
        <v>9</v>
      </c>
      <c r="C47" s="17">
        <v>30.845645842751111</v>
      </c>
      <c r="D47" s="11">
        <v>27.865183289144319</v>
      </c>
      <c r="E47" s="11">
        <v>33.843288450425682</v>
      </c>
    </row>
    <row r="48" spans="2:5" x14ac:dyDescent="0.2">
      <c r="B48" s="16" t="s">
        <v>10</v>
      </c>
      <c r="C48" s="17">
        <v>30.67513205926058</v>
      </c>
      <c r="D48" s="11">
        <v>40.118684981094447</v>
      </c>
      <c r="E48" s="11">
        <v>21.177144382125931</v>
      </c>
    </row>
    <row r="49" spans="2:5" x14ac:dyDescent="0.2">
      <c r="B49" s="18"/>
      <c r="C49" s="17"/>
      <c r="D49" s="11"/>
      <c r="E49" s="11"/>
    </row>
    <row r="50" spans="2:5" x14ac:dyDescent="0.2">
      <c r="B50" s="19" t="s">
        <v>4</v>
      </c>
      <c r="C50" s="15">
        <f>AVERAGE(C51:C54)</f>
        <v>1.5971143225379549</v>
      </c>
      <c r="D50" s="15">
        <f>AVERAGE(D51:D54)</f>
        <v>7.1952725316122876</v>
      </c>
      <c r="E50" s="15">
        <f>AVERAGE(E51:E54)</f>
        <v>-4.317013850303602</v>
      </c>
    </row>
    <row r="51" spans="2:5" x14ac:dyDescent="0.2">
      <c r="B51" s="16" t="s">
        <v>7</v>
      </c>
      <c r="C51" s="17">
        <v>-16.33656542937522</v>
      </c>
      <c r="D51" s="11">
        <v>-14.418978770928501</v>
      </c>
      <c r="E51" s="11">
        <v>-18.362384074907961</v>
      </c>
    </row>
    <row r="52" spans="2:5" x14ac:dyDescent="0.2">
      <c r="B52" s="16" t="s">
        <v>8</v>
      </c>
      <c r="C52" s="17">
        <v>-3.3804022286412909</v>
      </c>
      <c r="D52" s="11">
        <v>-10.07191384556512</v>
      </c>
      <c r="E52" s="11">
        <v>3.6887901547388999</v>
      </c>
    </row>
    <row r="53" spans="2:5" x14ac:dyDescent="0.2">
      <c r="B53" s="16" t="s">
        <v>9</v>
      </c>
      <c r="C53" s="17">
        <v>21.434953345798419</v>
      </c>
      <c r="D53" s="11">
        <v>34.110087459209431</v>
      </c>
      <c r="E53" s="11">
        <v>8.044412215117493</v>
      </c>
    </row>
    <row r="54" spans="2:5" x14ac:dyDescent="0.2">
      <c r="B54" s="16" t="s">
        <v>10</v>
      </c>
      <c r="C54" s="17">
        <v>4.6704716023699113</v>
      </c>
      <c r="D54" s="11">
        <v>19.16189528373334</v>
      </c>
      <c r="E54" s="11">
        <v>-10.63887369616284</v>
      </c>
    </row>
    <row r="55" spans="2:5" x14ac:dyDescent="0.2">
      <c r="B55" s="18"/>
      <c r="C55" s="17"/>
      <c r="D55" s="11"/>
      <c r="E55" s="11"/>
    </row>
    <row r="56" spans="2:5" x14ac:dyDescent="0.2">
      <c r="B56" s="19" t="s">
        <v>3</v>
      </c>
      <c r="C56" s="15">
        <f>AVERAGE(C57:C60)</f>
        <v>14.238632675073791</v>
      </c>
      <c r="D56" s="15">
        <f>AVERAGE(D57:D60)</f>
        <v>21.880094917835571</v>
      </c>
      <c r="E56" s="15">
        <f>AVERAGE(E57:E60)</f>
        <v>5.8702709138717912</v>
      </c>
    </row>
    <row r="57" spans="2:5" x14ac:dyDescent="0.2">
      <c r="B57" s="16" t="s">
        <v>7</v>
      </c>
      <c r="C57" s="17">
        <v>-2.487898070438618</v>
      </c>
      <c r="D57" s="11">
        <v>17.493669689505609</v>
      </c>
      <c r="E57" s="11">
        <v>-24.370226643032591</v>
      </c>
    </row>
    <row r="58" spans="2:5" x14ac:dyDescent="0.2">
      <c r="B58" s="22" t="s">
        <v>8</v>
      </c>
      <c r="C58" s="21">
        <v>19.1128165729458</v>
      </c>
      <c r="D58" s="11">
        <v>33.314590734491738</v>
      </c>
      <c r="E58" s="11">
        <v>3.5600885663026571</v>
      </c>
    </row>
    <row r="59" spans="2:5" x14ac:dyDescent="0.2">
      <c r="B59" s="22" t="s">
        <v>9</v>
      </c>
      <c r="C59" s="21">
        <v>20.685297739881701</v>
      </c>
      <c r="D59" s="11">
        <v>23.609601483907721</v>
      </c>
      <c r="E59" s="11">
        <v>17.48281752703663</v>
      </c>
    </row>
    <row r="60" spans="2:5" x14ac:dyDescent="0.2">
      <c r="B60" s="24" t="s">
        <v>10</v>
      </c>
      <c r="C60" s="25">
        <v>19.64431445790628</v>
      </c>
      <c r="D60" s="26">
        <v>13.10251776343722</v>
      </c>
      <c r="E60" s="26">
        <v>26.808404205180469</v>
      </c>
    </row>
    <row r="61" spans="2:5" ht="11.25" customHeight="1" x14ac:dyDescent="0.2">
      <c r="B61" s="10" t="s">
        <v>12</v>
      </c>
    </row>
    <row r="62" spans="2:5" ht="11.25" customHeight="1" x14ac:dyDescent="0.2">
      <c r="B62" s="8" t="s">
        <v>0</v>
      </c>
    </row>
    <row r="63" spans="2:5" ht="11.25" customHeight="1" x14ac:dyDescent="0.2">
      <c r="B63" s="8" t="s">
        <v>1</v>
      </c>
    </row>
    <row r="65" spans="2:5" x14ac:dyDescent="0.2">
      <c r="B65" s="27"/>
      <c r="C65" s="27"/>
      <c r="D65" s="27"/>
      <c r="E65" s="27"/>
    </row>
  </sheetData>
  <mergeCells count="2">
    <mergeCell ref="B65:E65"/>
    <mergeCell ref="B5:E5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cuadro_1</vt:lpstr>
      <vt:lpstr>cuadro_1!Área_de_impresión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JPEREZ</dc:creator>
  <cp:lastModifiedBy>Gladys Cortez Cantuta</cp:lastModifiedBy>
  <cp:lastPrinted>2021-12-20T23:14:10Z</cp:lastPrinted>
  <dcterms:created xsi:type="dcterms:W3CDTF">2003-12-08T19:00:41Z</dcterms:created>
  <dcterms:modified xsi:type="dcterms:W3CDTF">2026-03-31T13:59:42Z</dcterms:modified>
</cp:coreProperties>
</file>