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Y:\1. Página Web\2026 - 03. Marzo\Manufactura 12-25\"/>
    </mc:Choice>
  </mc:AlternateContent>
  <xr:revisionPtr revIDLastSave="0" documentId="13_ncr:1_{817D6E22-36EC-4D2F-9FEE-5453D2F72042}" xr6:coauthVersionLast="47" xr6:coauthVersionMax="47" xr10:uidLastSave="{00000000-0000-0000-0000-000000000000}"/>
  <bookViews>
    <workbookView xWindow="-120" yWindow="-120" windowWidth="29040" windowHeight="15840" tabRatio="648" activeTab="2" xr2:uid="{00000000-000D-0000-FFFF-FFFF00000000}"/>
  </bookViews>
  <sheets>
    <sheet name="Indice" sheetId="14" r:id="rId1"/>
    <sheet name="Variación Trimestral" sheetId="15" r:id="rId2"/>
    <sheet name="Variación_interanual" sheetId="16" r:id="rId3"/>
  </sheets>
  <definedNames>
    <definedName name="_xlnm.Print_Area" localSheetId="0">Indice!$B$1:$T$6</definedName>
    <definedName name="_xlnm.Print_Area" localSheetId="1">'Variación Trimestral'!$B$1:$T$4</definedName>
    <definedName name="_xlnm.Print_Area" localSheetId="2">Variación_interanual!$B$1:$T$4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3" i="14" l="1"/>
  <c r="D53" i="14"/>
  <c r="C53" i="14"/>
  <c r="E5" i="14"/>
  <c r="D5" i="14"/>
  <c r="C5" i="14"/>
  <c r="C11" i="14"/>
  <c r="E47" i="14"/>
  <c r="D47" i="14"/>
  <c r="C47" i="14"/>
  <c r="E41" i="14"/>
  <c r="D41" i="14"/>
  <c r="C41" i="14"/>
  <c r="E35" i="14"/>
  <c r="D35" i="14"/>
  <c r="C35" i="14"/>
  <c r="E29" i="14"/>
  <c r="D29" i="14"/>
  <c r="C29" i="14"/>
  <c r="E23" i="14"/>
  <c r="D23" i="14"/>
  <c r="C23" i="14"/>
  <c r="E17" i="14"/>
  <c r="D17" i="14"/>
  <c r="C17" i="14"/>
  <c r="E11" i="14"/>
  <c r="D11" i="14"/>
</calcChain>
</file>

<file path=xl/sharedStrings.xml><?xml version="1.0" encoding="utf-8"?>
<sst xmlns="http://schemas.openxmlformats.org/spreadsheetml/2006/main" count="136" uniqueCount="18">
  <si>
    <t xml:space="preserve">   Nota: La muestra utilizada para los índices, corresponde principalmente a empresas grandes y medianas.</t>
  </si>
  <si>
    <t>(Año de referencia 2017 - Base Móvil)</t>
  </si>
  <si>
    <r>
      <t>2025</t>
    </r>
    <r>
      <rPr>
        <b/>
        <vertAlign val="superscript"/>
        <sz val="10"/>
        <rFont val="Arial"/>
        <family val="2"/>
      </rPr>
      <t>(p)</t>
    </r>
  </si>
  <si>
    <r>
      <t>2024</t>
    </r>
    <r>
      <rPr>
        <b/>
        <vertAlign val="superscript"/>
        <sz val="10"/>
        <rFont val="Arial"/>
        <family val="2"/>
      </rPr>
      <t>(p)</t>
    </r>
  </si>
  <si>
    <r>
      <t>2023</t>
    </r>
    <r>
      <rPr>
        <b/>
        <vertAlign val="superscript"/>
        <sz val="10"/>
        <rFont val="Arial"/>
        <family val="2"/>
      </rPr>
      <t>(p)</t>
    </r>
  </si>
  <si>
    <t>BOLIVIA: ÍNDICE DE CONSUMO DE ENERGÍA ELÉCTRICA DE LA INDUSTRIA MANUFACTURERA SEGÚN TRIMESTRE, 2017 - 2025</t>
  </si>
  <si>
    <t xml:space="preserve">   IV Trimestre </t>
  </si>
  <si>
    <t xml:space="preserve">   III  Trimestre </t>
  </si>
  <si>
    <t xml:space="preserve">   II   Trimestre </t>
  </si>
  <si>
    <t xml:space="preserve">   I    Trimestre </t>
  </si>
  <si>
    <t>PERIODO</t>
  </si>
  <si>
    <t>Fuente: Instituto Nacional de Estadística</t>
  </si>
  <si>
    <r>
      <rPr>
        <vertAlign val="superscript"/>
        <sz val="8"/>
        <color rgb="FF002060"/>
        <rFont val="Arial"/>
        <family val="2"/>
      </rPr>
      <t xml:space="preserve">     (p)</t>
    </r>
    <r>
      <rPr>
        <sz val="8"/>
        <color rgb="FF002060"/>
        <rFont val="Arial"/>
        <family val="2"/>
      </rPr>
      <t xml:space="preserve"> Preliminar</t>
    </r>
  </si>
  <si>
    <t xml:space="preserve"> INDUSTRIA MANUFACTUERA</t>
  </si>
  <si>
    <t xml:space="preserve"> INDUSTRIA DE 
ALIMENTOS Y BEBIDAS</t>
  </si>
  <si>
    <t xml:space="preserve">
OTRAS INDUSTRIAS MANUFACTURERAS</t>
  </si>
  <si>
    <t>BOLIVIA: VARIACIÓN TRIMESTRAL DEL ÍNDICE DE CONSUMO DE ENERGÍA ELÉCTRICA DE LA INDUSTRIA MANUFACTURERA SEGÚN TRIMESTRE, 2017 - 2025</t>
  </si>
  <si>
    <t>BOLIVIA: VARIACIÓN INTERANUAL DEL ÍNDICE DE CONSUMO DE ENERGÍA ELÉCTRICA DE LA INDUSTRIA MANUFACTURERA SEGÚN TRIMESTRE, 2017 - 2025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</si>
</sst>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.00"/>
    <numFmt numFmtId="165" formatCode="#,##0.00_ ;\-#,##0.00\ "/>
    <numFmt numFmtId="167" formatCode="0.0"/>
    <numFmt numFmtId="168" formatCode="#,##0.000000\ _€;\-#,##0.000000\ _€"/>
    <numFmt numFmtId="172" formatCode="0.0000"/>
    <numFmt numFmtId="174" formatCode="#,##0.00\ _€;\-#,##0.00\ _€"/>
  </numFmts>
  <fonts count="19" x14ac:knownFonts="1">
    <font>
      <sz val="12"/>
      <name val="Courie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Courier"/>
      <family val="3"/>
    </font>
    <font>
      <sz val="12"/>
      <name val="Garamond"/>
      <family val="1"/>
    </font>
    <font>
      <sz val="10"/>
      <name val="Arial"/>
      <family val="2"/>
    </font>
    <font>
      <sz val="12"/>
      <name val="Arial"/>
      <family val="2"/>
    </font>
    <font>
      <sz val="8"/>
      <color rgb="FF002060"/>
      <name val="Arial"/>
      <family val="2"/>
    </font>
    <font>
      <b/>
      <sz val="10"/>
      <color theme="0"/>
      <name val="Arial"/>
      <family val="2"/>
    </font>
    <font>
      <sz val="9"/>
      <color indexed="1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sz val="10"/>
      <color rgb="FF1C335D"/>
      <name val="Arial"/>
      <family val="2"/>
    </font>
    <font>
      <vertAlign val="superscript"/>
      <sz val="8"/>
      <color rgb="FF002060"/>
      <name val="Arial"/>
      <family val="2"/>
    </font>
    <font>
      <sz val="12"/>
      <color rgb="FFFF0000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rgb="FFC5D9F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0" fillId="0" borderId="0"/>
    <xf numFmtId="0" fontId="5" fillId="0" borderId="0">
      <protection locked="0"/>
    </xf>
    <xf numFmtId="164" fontId="5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7" fillId="0" borderId="0"/>
    <xf numFmtId="0" fontId="5" fillId="0" borderId="1">
      <protection locked="0"/>
    </xf>
    <xf numFmtId="0" fontId="4" fillId="0" borderId="0"/>
    <xf numFmtId="0" fontId="3" fillId="0" borderId="0"/>
    <xf numFmtId="0" fontId="2" fillId="0" borderId="0"/>
    <xf numFmtId="0" fontId="1" fillId="0" borderId="0"/>
    <xf numFmtId="0" fontId="9" fillId="0" borderId="0"/>
  </cellStyleXfs>
  <cellXfs count="29">
    <xf numFmtId="0" fontId="0" fillId="0" borderId="0" xfId="0"/>
    <xf numFmtId="0" fontId="8" fillId="2" borderId="0" xfId="5" applyFont="1" applyFill="1" applyAlignment="1">
      <alignment vertical="top"/>
    </xf>
    <xf numFmtId="0" fontId="8" fillId="0" borderId="0" xfId="5" applyFont="1" applyAlignment="1">
      <alignment vertical="top"/>
    </xf>
    <xf numFmtId="2" fontId="8" fillId="2" borderId="0" xfId="5" applyNumberFormat="1" applyFont="1" applyFill="1" applyAlignment="1">
      <alignment vertical="top"/>
    </xf>
    <xf numFmtId="0" fontId="10" fillId="2" borderId="0" xfId="5" applyFont="1" applyFill="1" applyAlignment="1">
      <alignment vertical="top"/>
    </xf>
    <xf numFmtId="165" fontId="9" fillId="2" borderId="0" xfId="5" applyNumberFormat="1" applyFont="1" applyFill="1" applyAlignment="1">
      <alignment vertical="top"/>
    </xf>
    <xf numFmtId="0" fontId="11" fillId="2" borderId="0" xfId="5" applyFont="1" applyFill="1" applyAlignment="1">
      <alignment horizontal="left" indent="1"/>
    </xf>
    <xf numFmtId="167" fontId="8" fillId="0" borderId="0" xfId="5" applyNumberFormat="1" applyFont="1" applyAlignment="1">
      <alignment vertical="top"/>
    </xf>
    <xf numFmtId="0" fontId="11" fillId="2" borderId="0" xfId="5" applyFont="1" applyFill="1" applyAlignment="1">
      <alignment horizontal="left"/>
    </xf>
    <xf numFmtId="0" fontId="9" fillId="0" borderId="4" xfId="5" applyFont="1" applyBorder="1" applyAlignment="1">
      <alignment horizontal="left" vertical="center"/>
    </xf>
    <xf numFmtId="0" fontId="14" fillId="0" borderId="4" xfId="5" applyFont="1" applyBorder="1" applyAlignment="1">
      <alignment horizontal="left" vertical="center"/>
    </xf>
    <xf numFmtId="0" fontId="9" fillId="0" borderId="5" xfId="5" applyFont="1" applyBorder="1" applyAlignment="1">
      <alignment horizontal="left" vertical="center"/>
    </xf>
    <xf numFmtId="0" fontId="12" fillId="3" borderId="2" xfId="5" applyFont="1" applyFill="1" applyBorder="1" applyAlignment="1">
      <alignment horizontal="center" vertical="center"/>
    </xf>
    <xf numFmtId="0" fontId="12" fillId="3" borderId="2" xfId="5" applyFont="1" applyFill="1" applyBorder="1" applyAlignment="1">
      <alignment horizontal="center" vertical="center" wrapText="1"/>
    </xf>
    <xf numFmtId="0" fontId="14" fillId="4" borderId="3" xfId="5" applyFont="1" applyFill="1" applyBorder="1" applyAlignment="1">
      <alignment horizontal="left" vertical="center"/>
    </xf>
    <xf numFmtId="0" fontId="14" fillId="4" borderId="7" xfId="5" applyFont="1" applyFill="1" applyBorder="1" applyAlignment="1">
      <alignment horizontal="left" vertical="center"/>
    </xf>
    <xf numFmtId="0" fontId="16" fillId="0" borderId="0" xfId="11" applyFont="1" applyAlignment="1">
      <alignment vertical="center"/>
    </xf>
    <xf numFmtId="168" fontId="18" fillId="0" borderId="0" xfId="5" applyNumberFormat="1" applyFont="1" applyAlignment="1">
      <alignment vertical="top"/>
    </xf>
    <xf numFmtId="0" fontId="13" fillId="0" borderId="0" xfId="5" applyFont="1" applyAlignment="1">
      <alignment horizontal="left" vertical="center" wrapText="1"/>
    </xf>
    <xf numFmtId="0" fontId="16" fillId="0" borderId="0" xfId="5" applyFont="1" applyAlignment="1">
      <alignment horizontal="left" vertical="top" wrapText="1"/>
    </xf>
    <xf numFmtId="2" fontId="8" fillId="0" borderId="0" xfId="5" applyNumberFormat="1" applyFont="1" applyAlignment="1">
      <alignment vertical="top"/>
    </xf>
    <xf numFmtId="172" fontId="18" fillId="0" borderId="0" xfId="5" applyNumberFormat="1" applyFont="1" applyAlignment="1">
      <alignment vertical="top"/>
    </xf>
    <xf numFmtId="2" fontId="18" fillId="0" borderId="0" xfId="5" applyNumberFormat="1" applyFont="1" applyAlignment="1">
      <alignment vertical="top"/>
    </xf>
    <xf numFmtId="174" fontId="14" fillId="4" borderId="6" xfId="5" applyNumberFormat="1" applyFont="1" applyFill="1" applyBorder="1" applyAlignment="1">
      <alignment horizontal="right" vertical="center"/>
    </xf>
    <xf numFmtId="174" fontId="14" fillId="4" borderId="4" xfId="5" applyNumberFormat="1" applyFont="1" applyFill="1" applyBorder="1" applyAlignment="1">
      <alignment horizontal="right" vertical="center"/>
    </xf>
    <xf numFmtId="174" fontId="9" fillId="0" borderId="4" xfId="5" applyNumberFormat="1" applyFont="1" applyBorder="1" applyAlignment="1">
      <alignment horizontal="right" vertical="center"/>
    </xf>
    <xf numFmtId="174" fontId="9" fillId="0" borderId="4" xfId="5" applyNumberFormat="1" applyFont="1" applyBorder="1" applyAlignment="1">
      <alignment vertical="top"/>
    </xf>
    <xf numFmtId="174" fontId="9" fillId="0" borderId="5" xfId="5" applyNumberFormat="1" applyFont="1" applyBorder="1" applyAlignment="1">
      <alignment horizontal="right" vertical="center"/>
    </xf>
    <xf numFmtId="174" fontId="9" fillId="0" borderId="5" xfId="5" applyNumberFormat="1" applyFont="1" applyBorder="1" applyAlignment="1">
      <alignment vertical="top"/>
    </xf>
  </cellXfs>
  <cellStyles count="12">
    <cellStyle name="Date" xfId="1" xr:uid="{00000000-0005-0000-0000-000000000000}"/>
    <cellStyle name="Fixed" xfId="2" xr:uid="{00000000-0005-0000-0000-000001000000}"/>
    <cellStyle name="Heading1" xfId="3" xr:uid="{00000000-0005-0000-0000-000002000000}"/>
    <cellStyle name="Heading2" xfId="4" xr:uid="{00000000-0005-0000-0000-000003000000}"/>
    <cellStyle name="Normal" xfId="0" builtinId="0"/>
    <cellStyle name="Normal 10" xfId="11" xr:uid="{00000000-0005-0000-0000-000005000000}"/>
    <cellStyle name="Normal 2" xfId="7" xr:uid="{00000000-0005-0000-0000-000006000000}"/>
    <cellStyle name="Normal 3" xfId="8" xr:uid="{00000000-0005-0000-0000-000007000000}"/>
    <cellStyle name="Normal 6" xfId="9" xr:uid="{00000000-0005-0000-0000-000008000000}"/>
    <cellStyle name="Normal_INVOFIM A JUNIO DE 2003" xfId="5" xr:uid="{00000000-0005-0000-0000-000009000000}"/>
    <cellStyle name="style1545228365601 2" xfId="10" xr:uid="{00000000-0005-0000-0000-00000A000000}"/>
    <cellStyle name="Total" xfId="6" builtinId="25" customBuiltin="1"/>
  </cellStyles>
  <dxfs count="0"/>
  <tableStyles count="0" defaultTableStyle="TableStyleMedium9" defaultPivotStyle="PivotStyleLight16"/>
  <colors>
    <mruColors>
      <color rgb="FF1C335D"/>
      <color rgb="FFC5D9F1"/>
      <color rgb="FF17223D"/>
      <color rgb="FFFFFF99"/>
      <color rgb="FFCCFFFF"/>
      <color rgb="FFFFFFCC"/>
      <color rgb="FF99FF99"/>
      <color rgb="FF800000"/>
      <color rgb="FFCFFBFD"/>
      <color rgb="FFD5F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0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85724</xdr:colOff>
      <xdr:row>0</xdr:row>
      <xdr:rowOff>47625</xdr:rowOff>
    </xdr:from>
    <xdr:ext cx="1552575" cy="862541"/>
    <xdr:pic>
      <xdr:nvPicPr>
        <xdr:cNvPr id="3" name="Picture 1">
          <a:extLst>
            <a:ext uri="{FF2B5EF4-FFF2-40B4-BE49-F238E27FC236}">
              <a16:creationId xmlns:a16="http://schemas.microsoft.com/office/drawing/2014/main" id="{A4EC2271-D05E-44E1-9B94-E5A39FF27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4" y="47625"/>
          <a:ext cx="1552575" cy="86254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85724</xdr:colOff>
      <xdr:row>0</xdr:row>
      <xdr:rowOff>47625</xdr:rowOff>
    </xdr:from>
    <xdr:ext cx="1552575" cy="862541"/>
    <xdr:pic>
      <xdr:nvPicPr>
        <xdr:cNvPr id="2" name="Picture 1">
          <a:extLst>
            <a:ext uri="{FF2B5EF4-FFF2-40B4-BE49-F238E27FC236}">
              <a16:creationId xmlns:a16="http://schemas.microsoft.com/office/drawing/2014/main" id="{3099CE11-3516-4E48-8EBA-67AC2C8BE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4" y="47625"/>
          <a:ext cx="1552575" cy="86254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85724</xdr:colOff>
      <xdr:row>0</xdr:row>
      <xdr:rowOff>47625</xdr:rowOff>
    </xdr:from>
    <xdr:ext cx="1552575" cy="862541"/>
    <xdr:pic>
      <xdr:nvPicPr>
        <xdr:cNvPr id="2" name="Picture 1">
          <a:extLst>
            <a:ext uri="{FF2B5EF4-FFF2-40B4-BE49-F238E27FC236}">
              <a16:creationId xmlns:a16="http://schemas.microsoft.com/office/drawing/2014/main" id="{68D82FCB-1258-4FD4-9B38-F9DA47B8A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4" y="47625"/>
          <a:ext cx="1552575" cy="862541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62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D18" sqref="D18"/>
    </sheetView>
  </sheetViews>
  <sheetFormatPr baseColWidth="10" defaultColWidth="8.88671875" defaultRowHeight="15.75" x14ac:dyDescent="0.2"/>
  <cols>
    <col min="1" max="1" width="1.21875" style="2" customWidth="1"/>
    <col min="2" max="2" width="13.44140625" style="2" customWidth="1"/>
    <col min="3" max="5" width="16.21875" style="2" customWidth="1"/>
    <col min="6" max="7" width="6.21875" style="2" customWidth="1"/>
    <col min="8" max="8" width="11.5546875" style="2" customWidth="1"/>
    <col min="9" max="9" width="6.21875" style="2" customWidth="1"/>
    <col min="10" max="10" width="10.5546875" style="2" customWidth="1"/>
    <col min="11" max="12" width="10.21875" style="2" customWidth="1"/>
    <col min="13" max="14" width="6.21875" style="2" customWidth="1"/>
    <col min="15" max="15" width="6.33203125" style="2" bestFit="1" customWidth="1"/>
    <col min="16" max="19" width="6.21875" style="2" customWidth="1"/>
    <col min="20" max="20" width="6.33203125" style="2" bestFit="1" customWidth="1"/>
    <col min="21" max="24" width="6.21875" style="2" customWidth="1"/>
    <col min="25" max="30" width="6.33203125" style="2" bestFit="1" customWidth="1"/>
    <col min="31" max="16384" width="8.88671875" style="2"/>
  </cols>
  <sheetData>
    <row r="1" spans="2:27" ht="75.75" customHeight="1" x14ac:dyDescent="0.2"/>
    <row r="2" spans="2:27" ht="27.75" customHeight="1" x14ac:dyDescent="0.2">
      <c r="B2" s="19" t="s">
        <v>5</v>
      </c>
      <c r="C2" s="19"/>
      <c r="D2" s="19"/>
      <c r="E2" s="19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2:27" ht="18" customHeight="1" x14ac:dyDescent="0.2">
      <c r="B3" s="16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2:27" ht="71.25" customHeight="1" x14ac:dyDescent="0.2">
      <c r="B4" s="12" t="s">
        <v>10</v>
      </c>
      <c r="C4" s="13" t="s">
        <v>13</v>
      </c>
      <c r="D4" s="13" t="s">
        <v>14</v>
      </c>
      <c r="E4" s="13" t="s">
        <v>15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2:27" ht="18" customHeight="1" x14ac:dyDescent="0.2">
      <c r="B5" s="14">
        <v>2017</v>
      </c>
      <c r="C5" s="24">
        <f>AVERAGE(C6:C9)</f>
        <v>99.999999999999972</v>
      </c>
      <c r="D5" s="24">
        <f>AVERAGE(D6:D9)</f>
        <v>99.999999999999972</v>
      </c>
      <c r="E5" s="24">
        <f>AVERAGE(E6:E9)</f>
        <v>100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2:27" x14ac:dyDescent="0.2">
      <c r="B6" s="9" t="s">
        <v>9</v>
      </c>
      <c r="C6" s="25">
        <v>96.328834419418115</v>
      </c>
      <c r="D6" s="26">
        <v>94.464642668470532</v>
      </c>
      <c r="E6" s="26">
        <v>98.356951111007888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2:27" x14ac:dyDescent="0.2">
      <c r="B7" s="9" t="s">
        <v>8</v>
      </c>
      <c r="C7" s="25">
        <v>103.48470141633869</v>
      </c>
      <c r="D7" s="26">
        <v>106.8218459691499</v>
      </c>
      <c r="E7" s="26">
        <v>99.854109999782921</v>
      </c>
      <c r="F7" s="1"/>
      <c r="G7" s="1"/>
      <c r="H7" s="1"/>
      <c r="I7" s="1"/>
      <c r="J7" s="1"/>
      <c r="K7" s="1"/>
      <c r="L7" s="1"/>
      <c r="M7" s="1"/>
      <c r="N7" s="1"/>
      <c r="O7" s="1"/>
      <c r="P7" s="3"/>
      <c r="Q7" s="3"/>
      <c r="R7" s="3"/>
      <c r="S7" s="3"/>
      <c r="T7" s="3"/>
      <c r="U7" s="3"/>
      <c r="V7" s="3"/>
      <c r="W7" s="3"/>
      <c r="X7" s="3"/>
      <c r="Y7" s="3"/>
    </row>
    <row r="8" spans="2:27" x14ac:dyDescent="0.2">
      <c r="B8" s="9" t="s">
        <v>7</v>
      </c>
      <c r="C8" s="25">
        <v>100.76553943782299</v>
      </c>
      <c r="D8" s="26">
        <v>101.6325569004247</v>
      </c>
      <c r="E8" s="26">
        <v>99.822282078751201</v>
      </c>
      <c r="Q8" s="3"/>
      <c r="R8" s="3"/>
      <c r="S8" s="3"/>
      <c r="T8" s="3"/>
      <c r="U8" s="3"/>
      <c r="V8" s="3"/>
      <c r="W8" s="3"/>
      <c r="X8" s="3"/>
      <c r="Y8" s="3"/>
    </row>
    <row r="9" spans="2:27" x14ac:dyDescent="0.2">
      <c r="B9" s="9" t="s">
        <v>6</v>
      </c>
      <c r="C9" s="25">
        <v>99.420924726420111</v>
      </c>
      <c r="D9" s="26">
        <v>97.080954461954803</v>
      </c>
      <c r="E9" s="26">
        <v>101.96665681045801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2:27" x14ac:dyDescent="0.2">
      <c r="B10" s="10"/>
      <c r="C10" s="25"/>
      <c r="D10" s="26"/>
      <c r="E10" s="26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2:27" x14ac:dyDescent="0.2">
      <c r="B11" s="15">
        <v>2018</v>
      </c>
      <c r="C11" s="23">
        <f>AVERAGE(C12:C15)</f>
        <v>100.75271524606794</v>
      </c>
      <c r="D11" s="24">
        <f>AVERAGE(D12:D15)</f>
        <v>99.186276975203413</v>
      </c>
      <c r="E11" s="24">
        <f>AVERAGE(E12:E15)</f>
        <v>102.45689594629397</v>
      </c>
      <c r="F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2:27" x14ac:dyDescent="0.2">
      <c r="B12" s="9" t="s">
        <v>9</v>
      </c>
      <c r="C12" s="25">
        <v>95.413736442352956</v>
      </c>
      <c r="D12" s="26">
        <v>99.138543806513155</v>
      </c>
      <c r="E12" s="26">
        <v>91.361393659283152</v>
      </c>
      <c r="F12" s="7"/>
      <c r="G12" s="20"/>
      <c r="H12" s="20"/>
      <c r="I12" s="20"/>
      <c r="J12" s="7"/>
      <c r="K12" s="20"/>
      <c r="L12" s="20"/>
      <c r="M12" s="20"/>
      <c r="N12" s="7"/>
      <c r="O12" s="21"/>
      <c r="P12" s="21"/>
      <c r="Q12" s="21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2:27" x14ac:dyDescent="0.2">
      <c r="B13" s="9" t="s">
        <v>8</v>
      </c>
      <c r="C13" s="25">
        <v>106.528208493416</v>
      </c>
      <c r="D13" s="26">
        <v>110.7574964307904</v>
      </c>
      <c r="E13" s="26">
        <v>101.9270243850921</v>
      </c>
      <c r="G13" s="20"/>
      <c r="H13" s="20"/>
      <c r="I13" s="20"/>
      <c r="K13" s="20"/>
      <c r="L13" s="20"/>
      <c r="M13" s="20"/>
      <c r="O13" s="21"/>
      <c r="P13" s="21"/>
      <c r="Q13" s="21"/>
    </row>
    <row r="14" spans="2:27" x14ac:dyDescent="0.2">
      <c r="B14" s="9" t="s">
        <v>7</v>
      </c>
      <c r="C14" s="25">
        <v>99.925705658138114</v>
      </c>
      <c r="D14" s="26">
        <v>93.552768506025984</v>
      </c>
      <c r="E14" s="26">
        <v>106.8590376000277</v>
      </c>
      <c r="G14" s="20"/>
      <c r="H14" s="20"/>
      <c r="I14" s="20"/>
      <c r="K14" s="20"/>
      <c r="L14" s="20"/>
      <c r="M14" s="20"/>
      <c r="O14" s="21"/>
      <c r="P14" s="21"/>
      <c r="Q14" s="21"/>
    </row>
    <row r="15" spans="2:27" x14ac:dyDescent="0.2">
      <c r="B15" s="9" t="s">
        <v>6</v>
      </c>
      <c r="C15" s="25">
        <v>101.1432103903647</v>
      </c>
      <c r="D15" s="26">
        <v>93.296299157484071</v>
      </c>
      <c r="E15" s="26">
        <v>109.68012814077289</v>
      </c>
      <c r="G15" s="20"/>
      <c r="H15" s="20"/>
      <c r="I15" s="20"/>
      <c r="K15" s="20"/>
      <c r="L15" s="20"/>
      <c r="M15" s="20"/>
      <c r="O15" s="21"/>
      <c r="P15" s="21"/>
      <c r="Q15" s="21"/>
    </row>
    <row r="16" spans="2:27" x14ac:dyDescent="0.2">
      <c r="B16" s="10"/>
      <c r="C16" s="25"/>
      <c r="D16" s="26"/>
      <c r="E16" s="26"/>
      <c r="I16" s="20"/>
      <c r="O16" s="21"/>
      <c r="P16" s="21"/>
      <c r="Q16" s="21"/>
    </row>
    <row r="17" spans="2:17" x14ac:dyDescent="0.2">
      <c r="B17" s="15">
        <v>2019</v>
      </c>
      <c r="C17" s="24">
        <f>AVERAGE(C18:C21)</f>
        <v>103.17858338102549</v>
      </c>
      <c r="D17" s="24">
        <f>AVERAGE(D18:D21)</f>
        <v>100.49099268689133</v>
      </c>
      <c r="E17" s="24">
        <f>AVERAGE(E18:E21)</f>
        <v>105.49352494687011</v>
      </c>
      <c r="O17" s="21"/>
      <c r="P17" s="21"/>
      <c r="Q17" s="21"/>
    </row>
    <row r="18" spans="2:17" x14ac:dyDescent="0.2">
      <c r="B18" s="9" t="s">
        <v>9</v>
      </c>
      <c r="C18" s="25">
        <v>101.2107363719427</v>
      </c>
      <c r="D18" s="26">
        <v>104.7150916554415</v>
      </c>
      <c r="E18" s="26">
        <v>98.192279087891364</v>
      </c>
      <c r="G18" s="20"/>
      <c r="H18" s="20"/>
      <c r="I18" s="20"/>
      <c r="K18" s="20"/>
      <c r="L18" s="20"/>
      <c r="M18" s="20"/>
      <c r="O18" s="21"/>
      <c r="P18" s="21"/>
      <c r="Q18" s="21"/>
    </row>
    <row r="19" spans="2:17" x14ac:dyDescent="0.2">
      <c r="B19" s="9" t="s">
        <v>8</v>
      </c>
      <c r="C19" s="25">
        <v>110.3016175892737</v>
      </c>
      <c r="D19" s="26">
        <v>105.5043027407873</v>
      </c>
      <c r="E19" s="26">
        <v>114.433758532998</v>
      </c>
      <c r="G19" s="20"/>
      <c r="H19" s="20"/>
      <c r="I19" s="20"/>
      <c r="K19" s="20"/>
      <c r="L19" s="20"/>
      <c r="M19" s="20"/>
      <c r="O19" s="21"/>
      <c r="P19" s="21"/>
      <c r="Q19" s="21"/>
    </row>
    <row r="20" spans="2:17" x14ac:dyDescent="0.2">
      <c r="B20" s="9" t="s">
        <v>7</v>
      </c>
      <c r="C20" s="25">
        <v>106.43264415704959</v>
      </c>
      <c r="D20" s="26">
        <v>98.359466476254482</v>
      </c>
      <c r="E20" s="26">
        <v>113.3864316599276</v>
      </c>
      <c r="G20" s="20"/>
      <c r="H20" s="20"/>
      <c r="I20" s="20"/>
      <c r="K20" s="20"/>
      <c r="L20" s="20"/>
      <c r="M20" s="20"/>
      <c r="O20" s="21"/>
      <c r="P20" s="21"/>
      <c r="Q20" s="21"/>
    </row>
    <row r="21" spans="2:17" x14ac:dyDescent="0.2">
      <c r="B21" s="9" t="s">
        <v>6</v>
      </c>
      <c r="C21" s="25">
        <v>94.769335405835974</v>
      </c>
      <c r="D21" s="26">
        <v>93.38510987508208</v>
      </c>
      <c r="E21" s="26">
        <v>95.961630506663454</v>
      </c>
      <c r="G21" s="20"/>
      <c r="H21" s="20"/>
      <c r="I21" s="20"/>
      <c r="K21" s="20"/>
      <c r="L21" s="20"/>
      <c r="M21" s="20"/>
      <c r="O21" s="21"/>
      <c r="P21" s="21"/>
      <c r="Q21" s="21"/>
    </row>
    <row r="22" spans="2:17" x14ac:dyDescent="0.2">
      <c r="B22" s="10"/>
      <c r="C22" s="25"/>
      <c r="D22" s="26"/>
      <c r="E22" s="26"/>
      <c r="I22" s="20"/>
      <c r="O22" s="21"/>
      <c r="P22" s="21"/>
      <c r="Q22" s="21"/>
    </row>
    <row r="23" spans="2:17" x14ac:dyDescent="0.2">
      <c r="B23" s="15">
        <v>2020</v>
      </c>
      <c r="C23" s="24">
        <f>AVERAGE(C24:C27)</f>
        <v>92.948075453833383</v>
      </c>
      <c r="D23" s="24">
        <f>AVERAGE(D24:D27)</f>
        <v>94.774226808864626</v>
      </c>
      <c r="E23" s="24">
        <f>AVERAGE(E24:E27)</f>
        <v>91.297473667742906</v>
      </c>
      <c r="O23" s="21"/>
      <c r="P23" s="21"/>
      <c r="Q23" s="21"/>
    </row>
    <row r="24" spans="2:17" x14ac:dyDescent="0.2">
      <c r="B24" s="9" t="s">
        <v>9</v>
      </c>
      <c r="C24" s="25">
        <v>100.9328756137549</v>
      </c>
      <c r="D24" s="26">
        <v>103.16173424838961</v>
      </c>
      <c r="E24" s="26">
        <v>98.91827916032544</v>
      </c>
      <c r="G24" s="20"/>
      <c r="H24" s="20"/>
      <c r="I24" s="20"/>
      <c r="K24" s="20"/>
      <c r="L24" s="20"/>
      <c r="M24" s="20"/>
      <c r="O24" s="21"/>
      <c r="P24" s="21"/>
      <c r="Q24" s="21"/>
    </row>
    <row r="25" spans="2:17" x14ac:dyDescent="0.2">
      <c r="B25" s="9" t="s">
        <v>8</v>
      </c>
      <c r="C25" s="25">
        <v>79.368244666297983</v>
      </c>
      <c r="D25" s="26">
        <v>87.30453999367603</v>
      </c>
      <c r="E25" s="26">
        <v>72.194872532481853</v>
      </c>
      <c r="G25" s="20"/>
      <c r="H25" s="20"/>
      <c r="I25" s="20"/>
      <c r="K25" s="20"/>
      <c r="L25" s="20"/>
      <c r="M25" s="20"/>
      <c r="O25" s="21"/>
      <c r="P25" s="21"/>
      <c r="Q25" s="21"/>
    </row>
    <row r="26" spans="2:17" x14ac:dyDescent="0.2">
      <c r="B26" s="9" t="s">
        <v>7</v>
      </c>
      <c r="C26" s="25">
        <v>87.98311358853482</v>
      </c>
      <c r="D26" s="26">
        <v>84.109422350064719</v>
      </c>
      <c r="E26" s="26">
        <v>91.484423411165849</v>
      </c>
      <c r="G26" s="20"/>
      <c r="H26" s="20"/>
      <c r="I26" s="20"/>
      <c r="K26" s="20"/>
      <c r="L26" s="20"/>
      <c r="M26" s="20"/>
      <c r="O26" s="21"/>
      <c r="P26" s="21"/>
      <c r="Q26" s="21"/>
    </row>
    <row r="27" spans="2:17" x14ac:dyDescent="0.2">
      <c r="B27" s="9" t="s">
        <v>6</v>
      </c>
      <c r="C27" s="25">
        <v>103.5080679467458</v>
      </c>
      <c r="D27" s="26">
        <v>104.5212106433281</v>
      </c>
      <c r="E27" s="26">
        <v>102.5923195669985</v>
      </c>
      <c r="G27" s="20"/>
      <c r="H27" s="20"/>
      <c r="I27" s="20"/>
      <c r="K27" s="20"/>
      <c r="L27" s="20"/>
      <c r="M27" s="20"/>
      <c r="O27" s="21"/>
      <c r="P27" s="21"/>
      <c r="Q27" s="21"/>
    </row>
    <row r="28" spans="2:17" x14ac:dyDescent="0.2">
      <c r="B28" s="10"/>
      <c r="C28" s="25"/>
      <c r="D28" s="26"/>
      <c r="E28" s="26"/>
      <c r="I28" s="20"/>
      <c r="O28" s="21"/>
      <c r="P28" s="21"/>
      <c r="Q28" s="21"/>
    </row>
    <row r="29" spans="2:17" x14ac:dyDescent="0.2">
      <c r="B29" s="15">
        <v>2021</v>
      </c>
      <c r="C29" s="24">
        <f>AVERAGE(C30:C33)</f>
        <v>110.56152914068511</v>
      </c>
      <c r="D29" s="24">
        <f>AVERAGE(D30:D33)</f>
        <v>109.92288357597531</v>
      </c>
      <c r="E29" s="24">
        <f>AVERAGE(E30:E33)</f>
        <v>111.37106387824764</v>
      </c>
      <c r="O29" s="21"/>
      <c r="P29" s="21"/>
      <c r="Q29" s="21"/>
    </row>
    <row r="30" spans="2:17" x14ac:dyDescent="0.2">
      <c r="B30" s="9" t="s">
        <v>9</v>
      </c>
      <c r="C30" s="25">
        <v>107.7954007027559</v>
      </c>
      <c r="D30" s="26">
        <v>110.9388187365756</v>
      </c>
      <c r="E30" s="26">
        <v>103.8108649388321</v>
      </c>
      <c r="G30" s="20"/>
      <c r="H30" s="20"/>
      <c r="I30" s="20"/>
      <c r="K30" s="20"/>
      <c r="L30" s="20"/>
      <c r="M30" s="20"/>
      <c r="O30" s="21"/>
      <c r="P30" s="21"/>
      <c r="Q30" s="21"/>
    </row>
    <row r="31" spans="2:17" x14ac:dyDescent="0.2">
      <c r="B31" s="9" t="s">
        <v>8</v>
      </c>
      <c r="C31" s="25">
        <v>112.86413338408791</v>
      </c>
      <c r="D31" s="26">
        <v>112.1894825764317</v>
      </c>
      <c r="E31" s="26">
        <v>113.7193076696409</v>
      </c>
      <c r="G31" s="20"/>
      <c r="H31" s="20"/>
      <c r="I31" s="20"/>
      <c r="K31" s="20"/>
      <c r="L31" s="20"/>
      <c r="M31" s="20"/>
      <c r="O31" s="21"/>
      <c r="P31" s="21"/>
      <c r="Q31" s="21"/>
    </row>
    <row r="32" spans="2:17" x14ac:dyDescent="0.2">
      <c r="B32" s="9" t="s">
        <v>7</v>
      </c>
      <c r="C32" s="25">
        <v>105.0277725509936</v>
      </c>
      <c r="D32" s="26">
        <v>98.901487572063473</v>
      </c>
      <c r="E32" s="26">
        <v>112.7933326311064</v>
      </c>
      <c r="G32" s="20"/>
      <c r="H32" s="20"/>
      <c r="I32" s="20"/>
      <c r="K32" s="20"/>
      <c r="L32" s="20"/>
      <c r="M32" s="20"/>
      <c r="O32" s="21"/>
      <c r="P32" s="21"/>
      <c r="Q32" s="21"/>
    </row>
    <row r="33" spans="2:17" x14ac:dyDescent="0.2">
      <c r="B33" s="9" t="s">
        <v>6</v>
      </c>
      <c r="C33" s="25">
        <v>116.558809924903</v>
      </c>
      <c r="D33" s="26">
        <v>117.66174541883051</v>
      </c>
      <c r="E33" s="26">
        <v>115.1607502734112</v>
      </c>
      <c r="G33" s="20"/>
      <c r="H33" s="20"/>
      <c r="I33" s="20"/>
      <c r="K33" s="20"/>
      <c r="L33" s="20"/>
      <c r="M33" s="20"/>
      <c r="O33" s="21"/>
      <c r="P33" s="21"/>
      <c r="Q33" s="21"/>
    </row>
    <row r="34" spans="2:17" x14ac:dyDescent="0.2">
      <c r="B34" s="10"/>
      <c r="C34" s="25"/>
      <c r="D34" s="26"/>
      <c r="E34" s="26"/>
      <c r="I34" s="20"/>
    </row>
    <row r="35" spans="2:17" x14ac:dyDescent="0.2">
      <c r="B35" s="15">
        <v>2022</v>
      </c>
      <c r="C35" s="24">
        <f>AVERAGE(C36:C39)</f>
        <v>104.2181156942838</v>
      </c>
      <c r="D35" s="24">
        <f>AVERAGE(D36:D39)</f>
        <v>105.15007024221512</v>
      </c>
      <c r="E35" s="24">
        <f>AVERAGE(E36:E39)</f>
        <v>102.89022620505843</v>
      </c>
    </row>
    <row r="36" spans="2:17" x14ac:dyDescent="0.2">
      <c r="B36" s="9" t="s">
        <v>9</v>
      </c>
      <c r="C36" s="25">
        <v>103.8990495866927</v>
      </c>
      <c r="D36" s="26">
        <v>108.1518923177334</v>
      </c>
      <c r="E36" s="26">
        <v>97.839413766025913</v>
      </c>
      <c r="G36" s="20"/>
      <c r="H36" s="20"/>
      <c r="I36" s="20"/>
      <c r="K36" s="20"/>
      <c r="L36" s="20"/>
      <c r="M36" s="20"/>
    </row>
    <row r="37" spans="2:17" x14ac:dyDescent="0.2">
      <c r="B37" s="9" t="s">
        <v>8</v>
      </c>
      <c r="C37" s="25">
        <v>106.909741363599</v>
      </c>
      <c r="D37" s="26">
        <v>110.2857638701563</v>
      </c>
      <c r="E37" s="26">
        <v>102.0994372432995</v>
      </c>
      <c r="G37" s="20"/>
      <c r="H37" s="20"/>
      <c r="I37" s="20"/>
      <c r="K37" s="20"/>
      <c r="L37" s="20"/>
      <c r="M37" s="20"/>
    </row>
    <row r="38" spans="2:17" x14ac:dyDescent="0.2">
      <c r="B38" s="9" t="s">
        <v>7</v>
      </c>
      <c r="C38" s="25">
        <v>103.595574184833</v>
      </c>
      <c r="D38" s="26">
        <v>101.5177164775602</v>
      </c>
      <c r="E38" s="26">
        <v>106.5561964766802</v>
      </c>
      <c r="G38" s="20"/>
      <c r="H38" s="20"/>
      <c r="I38" s="20"/>
      <c r="K38" s="20"/>
      <c r="L38" s="20"/>
      <c r="M38" s="20"/>
    </row>
    <row r="39" spans="2:17" x14ac:dyDescent="0.2">
      <c r="B39" s="9" t="s">
        <v>6</v>
      </c>
      <c r="C39" s="25">
        <v>102.46809764201051</v>
      </c>
      <c r="D39" s="26">
        <v>100.6449083034106</v>
      </c>
      <c r="E39" s="26">
        <v>105.0658573342281</v>
      </c>
      <c r="G39" s="20"/>
      <c r="H39" s="20"/>
      <c r="I39" s="20"/>
      <c r="K39" s="20"/>
      <c r="L39" s="20"/>
      <c r="M39" s="20"/>
    </row>
    <row r="40" spans="2:17" x14ac:dyDescent="0.2">
      <c r="B40" s="10"/>
      <c r="C40" s="25"/>
      <c r="D40" s="26"/>
      <c r="E40" s="26"/>
      <c r="I40" s="20"/>
    </row>
    <row r="41" spans="2:17" x14ac:dyDescent="0.2">
      <c r="B41" s="15" t="s">
        <v>4</v>
      </c>
      <c r="C41" s="24">
        <f>AVERAGE(C42:C45)</f>
        <v>102.39172966771902</v>
      </c>
      <c r="D41" s="24">
        <f>AVERAGE(D42:D45)</f>
        <v>107.80304524426857</v>
      </c>
      <c r="E41" s="24">
        <f>AVERAGE(E42:E45)</f>
        <v>96.955314514515806</v>
      </c>
      <c r="J41" s="17"/>
    </row>
    <row r="42" spans="2:17" x14ac:dyDescent="0.2">
      <c r="B42" s="9" t="s">
        <v>9</v>
      </c>
      <c r="C42" s="25">
        <v>100.0281642224339</v>
      </c>
      <c r="D42" s="26">
        <v>104.3546409417248</v>
      </c>
      <c r="E42" s="26">
        <v>95.681619789013183</v>
      </c>
      <c r="G42" s="20"/>
      <c r="H42" s="20"/>
      <c r="I42" s="20"/>
      <c r="J42" s="17"/>
      <c r="K42" s="20"/>
      <c r="L42" s="20"/>
      <c r="M42" s="20"/>
    </row>
    <row r="43" spans="2:17" x14ac:dyDescent="0.2">
      <c r="B43" s="9" t="s">
        <v>8</v>
      </c>
      <c r="C43" s="25">
        <v>103.137312618452</v>
      </c>
      <c r="D43" s="26">
        <v>109.1273242640582</v>
      </c>
      <c r="E43" s="26">
        <v>97.119517201167895</v>
      </c>
      <c r="G43" s="20"/>
      <c r="H43" s="20"/>
      <c r="I43" s="20"/>
      <c r="J43" s="17"/>
      <c r="K43" s="20"/>
      <c r="L43" s="20"/>
      <c r="M43" s="20"/>
    </row>
    <row r="44" spans="2:17" x14ac:dyDescent="0.2">
      <c r="B44" s="9" t="s">
        <v>7</v>
      </c>
      <c r="C44" s="25">
        <v>98.905195564133592</v>
      </c>
      <c r="D44" s="26">
        <v>101.64548075704251</v>
      </c>
      <c r="E44" s="26">
        <v>96.152199968868885</v>
      </c>
      <c r="G44" s="20"/>
      <c r="H44" s="20"/>
      <c r="I44" s="20"/>
      <c r="J44" s="17"/>
      <c r="K44" s="20"/>
      <c r="L44" s="20"/>
      <c r="M44" s="20"/>
    </row>
    <row r="45" spans="2:17" x14ac:dyDescent="0.2">
      <c r="B45" s="9" t="s">
        <v>6</v>
      </c>
      <c r="C45" s="25">
        <v>107.4962462658566</v>
      </c>
      <c r="D45" s="26">
        <v>116.08473501424881</v>
      </c>
      <c r="E45" s="26">
        <v>98.86792109901323</v>
      </c>
      <c r="G45" s="20"/>
      <c r="H45" s="20"/>
      <c r="I45" s="20"/>
      <c r="J45" s="17"/>
      <c r="K45" s="22"/>
      <c r="L45" s="22"/>
      <c r="M45" s="20"/>
    </row>
    <row r="46" spans="2:17" x14ac:dyDescent="0.2">
      <c r="B46" s="10"/>
      <c r="C46" s="25"/>
      <c r="D46" s="26"/>
      <c r="E46" s="26"/>
      <c r="I46" s="20"/>
      <c r="J46" s="17"/>
    </row>
    <row r="47" spans="2:17" x14ac:dyDescent="0.2">
      <c r="B47" s="15" t="s">
        <v>3</v>
      </c>
      <c r="C47" s="24">
        <f>AVERAGE(C48:C51)</f>
        <v>101.4940329914717</v>
      </c>
      <c r="D47" s="24">
        <f>AVERAGE(D48:D51)</f>
        <v>102.2861628180024</v>
      </c>
      <c r="E47" s="24">
        <f>AVERAGE(E48:E51)</f>
        <v>101.03427274340736</v>
      </c>
      <c r="J47" s="17"/>
    </row>
    <row r="48" spans="2:17" x14ac:dyDescent="0.2">
      <c r="B48" s="9" t="s">
        <v>9</v>
      </c>
      <c r="C48" s="25">
        <v>95.623377439332728</v>
      </c>
      <c r="D48" s="26">
        <v>104.8355974880526</v>
      </c>
      <c r="E48" s="26">
        <v>90.276510760455722</v>
      </c>
      <c r="G48" s="20"/>
      <c r="H48" s="20"/>
      <c r="I48" s="20"/>
      <c r="J48" s="17"/>
      <c r="K48" s="22"/>
      <c r="L48" s="22"/>
      <c r="M48" s="20"/>
    </row>
    <row r="49" spans="2:13" x14ac:dyDescent="0.2">
      <c r="B49" s="9" t="s">
        <v>8</v>
      </c>
      <c r="C49" s="25">
        <v>97.724422422809255</v>
      </c>
      <c r="D49" s="26">
        <v>105.8206356369471</v>
      </c>
      <c r="E49" s="26">
        <v>93.025297517974394</v>
      </c>
      <c r="G49" s="20"/>
      <c r="H49" s="20"/>
      <c r="I49" s="20"/>
      <c r="J49" s="17"/>
      <c r="K49" s="22"/>
      <c r="L49" s="22"/>
      <c r="M49" s="20"/>
    </row>
    <row r="50" spans="2:13" x14ac:dyDescent="0.2">
      <c r="B50" s="9" t="s">
        <v>7</v>
      </c>
      <c r="C50" s="25">
        <v>104.3057847100052</v>
      </c>
      <c r="D50" s="26">
        <v>97.140358121183269</v>
      </c>
      <c r="E50" s="26">
        <v>108.4646715434817</v>
      </c>
      <c r="G50" s="20"/>
      <c r="H50" s="20"/>
      <c r="I50" s="20"/>
      <c r="J50" s="17"/>
      <c r="K50" s="22"/>
      <c r="L50" s="22"/>
      <c r="M50" s="20"/>
    </row>
    <row r="51" spans="2:13" x14ac:dyDescent="0.2">
      <c r="B51" s="9" t="s">
        <v>6</v>
      </c>
      <c r="C51" s="25">
        <v>108.3225473937396</v>
      </c>
      <c r="D51" s="26">
        <v>101.3480600258266</v>
      </c>
      <c r="E51" s="26">
        <v>112.3706111517176</v>
      </c>
      <c r="G51" s="20"/>
      <c r="H51" s="20"/>
      <c r="I51" s="20"/>
      <c r="J51" s="17"/>
      <c r="K51" s="22"/>
      <c r="L51" s="22"/>
      <c r="M51" s="20"/>
    </row>
    <row r="52" spans="2:13" x14ac:dyDescent="0.2">
      <c r="B52" s="10"/>
      <c r="C52" s="25"/>
      <c r="D52" s="26"/>
      <c r="E52" s="26"/>
      <c r="I52" s="20"/>
      <c r="J52" s="17"/>
    </row>
    <row r="53" spans="2:13" x14ac:dyDescent="0.2">
      <c r="B53" s="15" t="s">
        <v>2</v>
      </c>
      <c r="C53" s="24">
        <f>AVERAGE(C54:C57)</f>
        <v>106.43527617681809</v>
      </c>
      <c r="D53" s="24">
        <f>AVERAGE(D54:D57)</f>
        <v>101.26125810593757</v>
      </c>
      <c r="E53" s="24">
        <f>AVERAGE(E54:E57)</f>
        <v>109.67890880117992</v>
      </c>
      <c r="J53" s="17"/>
    </row>
    <row r="54" spans="2:13" x14ac:dyDescent="0.2">
      <c r="B54" s="9" t="s">
        <v>9</v>
      </c>
      <c r="C54" s="25">
        <v>97.126862648446675</v>
      </c>
      <c r="D54" s="26">
        <v>99.526609762847016</v>
      </c>
      <c r="E54" s="26">
        <v>95.622442307455685</v>
      </c>
      <c r="G54" s="20"/>
      <c r="H54" s="20"/>
      <c r="I54" s="20"/>
      <c r="J54" s="17"/>
      <c r="K54" s="22"/>
      <c r="L54" s="22"/>
      <c r="M54" s="20"/>
    </row>
    <row r="55" spans="2:13" x14ac:dyDescent="0.2">
      <c r="B55" s="9" t="s">
        <v>8</v>
      </c>
      <c r="C55" s="25">
        <v>108.45848948908809</v>
      </c>
      <c r="D55" s="26">
        <v>105.9529369964899</v>
      </c>
      <c r="E55" s="26">
        <v>110.0292400538729</v>
      </c>
      <c r="G55" s="20"/>
      <c r="H55" s="20"/>
      <c r="I55" s="20"/>
      <c r="J55" s="17"/>
      <c r="K55" s="22"/>
      <c r="L55" s="22"/>
      <c r="M55" s="20"/>
    </row>
    <row r="56" spans="2:13" x14ac:dyDescent="0.2">
      <c r="B56" s="9" t="s">
        <v>7</v>
      </c>
      <c r="C56" s="25">
        <v>109.1812545840574</v>
      </c>
      <c r="D56" s="26">
        <v>95.959006634485561</v>
      </c>
      <c r="E56" s="26">
        <v>117.4703858219261</v>
      </c>
      <c r="G56" s="20"/>
      <c r="H56" s="20"/>
      <c r="I56" s="20"/>
      <c r="J56" s="17"/>
      <c r="K56" s="22"/>
      <c r="L56" s="22"/>
      <c r="M56" s="20"/>
    </row>
    <row r="57" spans="2:13" x14ac:dyDescent="0.2">
      <c r="B57" s="11" t="s">
        <v>6</v>
      </c>
      <c r="C57" s="27">
        <v>110.9744979856802</v>
      </c>
      <c r="D57" s="28">
        <v>103.6064790299278</v>
      </c>
      <c r="E57" s="28">
        <v>115.59356702146501</v>
      </c>
      <c r="G57" s="20"/>
      <c r="H57" s="20"/>
      <c r="I57" s="20"/>
      <c r="J57" s="17"/>
      <c r="K57" s="22"/>
      <c r="L57" s="22"/>
      <c r="M57" s="20"/>
    </row>
    <row r="58" spans="2:13" ht="12" customHeight="1" x14ac:dyDescent="0.2">
      <c r="B58" s="8" t="s">
        <v>11</v>
      </c>
    </row>
    <row r="59" spans="2:13" ht="11.25" customHeight="1" x14ac:dyDescent="0.2">
      <c r="B59" s="6" t="s">
        <v>0</v>
      </c>
    </row>
    <row r="60" spans="2:13" ht="11.25" customHeight="1" x14ac:dyDescent="0.2">
      <c r="B60" s="6" t="s">
        <v>12</v>
      </c>
    </row>
    <row r="62" spans="2:13" x14ac:dyDescent="0.2">
      <c r="B62" s="18"/>
      <c r="C62" s="18"/>
      <c r="D62" s="18"/>
      <c r="E62" s="18"/>
    </row>
  </sheetData>
  <mergeCells count="2">
    <mergeCell ref="B62:E62"/>
    <mergeCell ref="B2:E2"/>
  </mergeCells>
  <printOptions horizontalCentered="1"/>
  <pageMargins left="0" right="0" top="1.1399999999999999" bottom="0.39370078740157483" header="0.31496062992125984" footer="0.31496062992125984"/>
  <pageSetup scale="62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93BFF-115D-443D-9DB1-30DCB4619FE9}">
  <dimension ref="B1:AA56"/>
  <sheetViews>
    <sheetView showGridLines="0" zoomScaleNormal="100" workbookViewId="0">
      <pane xSplit="2" ySplit="4" topLeftCell="C27" activePane="bottomRight" state="frozen"/>
      <selection pane="topRight" activeCell="C1" sqref="C1"/>
      <selection pane="bottomLeft" activeCell="A9" sqref="A9"/>
      <selection pane="bottomRight" activeCell="C47" sqref="C47:E47"/>
    </sheetView>
  </sheetViews>
  <sheetFormatPr baseColWidth="10" defaultColWidth="8.88671875" defaultRowHeight="15.75" x14ac:dyDescent="0.2"/>
  <cols>
    <col min="1" max="1" width="1.21875" style="2" customWidth="1"/>
    <col min="2" max="2" width="13.44140625" style="2" customWidth="1"/>
    <col min="3" max="5" width="16.21875" style="2" customWidth="1"/>
    <col min="6" max="7" width="6.21875" style="2" customWidth="1"/>
    <col min="8" max="8" width="11.5546875" style="2" customWidth="1"/>
    <col min="9" max="9" width="6.21875" style="2" customWidth="1"/>
    <col min="10" max="10" width="10.5546875" style="2" customWidth="1"/>
    <col min="11" max="12" width="10.21875" style="2" customWidth="1"/>
    <col min="13" max="14" width="6.21875" style="2" customWidth="1"/>
    <col min="15" max="15" width="6.33203125" style="2" bestFit="1" customWidth="1"/>
    <col min="16" max="19" width="6.21875" style="2" customWidth="1"/>
    <col min="20" max="20" width="6.33203125" style="2" bestFit="1" customWidth="1"/>
    <col min="21" max="24" width="6.21875" style="2" customWidth="1"/>
    <col min="25" max="30" width="6.33203125" style="2" bestFit="1" customWidth="1"/>
    <col min="31" max="16384" width="8.88671875" style="2"/>
  </cols>
  <sheetData>
    <row r="1" spans="2:27" ht="75.75" customHeight="1" x14ac:dyDescent="0.2"/>
    <row r="2" spans="2:27" ht="27.75" customHeight="1" x14ac:dyDescent="0.2">
      <c r="B2" s="19" t="s">
        <v>16</v>
      </c>
      <c r="C2" s="19"/>
      <c r="D2" s="19"/>
      <c r="E2" s="19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2:27" ht="18" customHeight="1" x14ac:dyDescent="0.2">
      <c r="B3" s="16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2:27" ht="71.25" customHeight="1" x14ac:dyDescent="0.2">
      <c r="B4" s="12" t="s">
        <v>10</v>
      </c>
      <c r="C4" s="13" t="s">
        <v>13</v>
      </c>
      <c r="D4" s="13" t="s">
        <v>14</v>
      </c>
      <c r="E4" s="13" t="s">
        <v>15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2:27" x14ac:dyDescent="0.2">
      <c r="B5" s="15">
        <v>2018</v>
      </c>
      <c r="C5" s="23">
        <v>0.7527152460679698</v>
      </c>
      <c r="D5" s="24">
        <v>-0.81372302479656433</v>
      </c>
      <c r="E5" s="24">
        <v>2.4568959462939688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2:27" x14ac:dyDescent="0.2">
      <c r="B6" s="9" t="s">
        <v>9</v>
      </c>
      <c r="C6" s="25">
        <v>-4.0305280755473456</v>
      </c>
      <c r="D6" s="26">
        <v>2.1194572673517649</v>
      </c>
      <c r="E6" s="26">
        <v>-10.400716746934821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2:27" x14ac:dyDescent="0.2">
      <c r="B7" s="9" t="s">
        <v>8</v>
      </c>
      <c r="C7" s="25">
        <v>11.648712717354019</v>
      </c>
      <c r="D7" s="26">
        <v>11.719914554074711</v>
      </c>
      <c r="E7" s="26">
        <v>11.56465581645099</v>
      </c>
    </row>
    <row r="8" spans="2:27" x14ac:dyDescent="0.2">
      <c r="B8" s="9" t="s">
        <v>7</v>
      </c>
      <c r="C8" s="25">
        <v>-6.1978915525327078</v>
      </c>
      <c r="D8" s="26">
        <v>-15.5336916048073</v>
      </c>
      <c r="E8" s="26">
        <v>4.8387689571921966</v>
      </c>
    </row>
    <row r="9" spans="2:27" x14ac:dyDescent="0.2">
      <c r="B9" s="9" t="s">
        <v>6</v>
      </c>
      <c r="C9" s="25">
        <v>1.218409941874121</v>
      </c>
      <c r="D9" s="26">
        <v>-0.27414405007735182</v>
      </c>
      <c r="E9" s="26">
        <v>2.640011181182933</v>
      </c>
    </row>
    <row r="10" spans="2:27" x14ac:dyDescent="0.2">
      <c r="B10" s="10"/>
      <c r="C10" s="25"/>
      <c r="D10" s="26"/>
      <c r="E10" s="26"/>
    </row>
    <row r="11" spans="2:27" x14ac:dyDescent="0.2">
      <c r="B11" s="15">
        <v>2019</v>
      </c>
      <c r="C11" s="24">
        <v>2.4077446737121422</v>
      </c>
      <c r="D11" s="24">
        <v>1.3154195837132843</v>
      </c>
      <c r="E11" s="24">
        <v>2.9638112423080676</v>
      </c>
    </row>
    <row r="12" spans="2:27" x14ac:dyDescent="0.2">
      <c r="B12" s="9" t="s">
        <v>9</v>
      </c>
      <c r="C12" s="25">
        <v>6.6762742963555333E-2</v>
      </c>
      <c r="D12" s="26">
        <v>12.23927701428169</v>
      </c>
      <c r="E12" s="26">
        <v>-10.47395662971604</v>
      </c>
    </row>
    <row r="13" spans="2:27" x14ac:dyDescent="0.2">
      <c r="B13" s="9" t="s">
        <v>8</v>
      </c>
      <c r="C13" s="25">
        <v>8.9821312868652026</v>
      </c>
      <c r="D13" s="26">
        <v>0.75367463549824709</v>
      </c>
      <c r="E13" s="26">
        <v>16.540485256044391</v>
      </c>
    </row>
    <row r="14" spans="2:27" x14ac:dyDescent="0.2">
      <c r="B14" s="9" t="s">
        <v>7</v>
      </c>
      <c r="C14" s="25">
        <v>-3.5076307281646568</v>
      </c>
      <c r="D14" s="26">
        <v>-6.7720804544691422</v>
      </c>
      <c r="E14" s="26">
        <v>-0.91522544264623917</v>
      </c>
    </row>
    <row r="15" spans="2:27" x14ac:dyDescent="0.2">
      <c r="B15" s="9" t="s">
        <v>6</v>
      </c>
      <c r="C15" s="25">
        <v>-10.958394244160219</v>
      </c>
      <c r="D15" s="26">
        <v>-5.0573236917397129</v>
      </c>
      <c r="E15" s="26">
        <v>-15.36762458979679</v>
      </c>
    </row>
    <row r="16" spans="2:27" x14ac:dyDescent="0.2">
      <c r="B16" s="10"/>
      <c r="C16" s="25"/>
      <c r="D16" s="26"/>
      <c r="E16" s="26"/>
    </row>
    <row r="17" spans="2:5" x14ac:dyDescent="0.2">
      <c r="B17" s="15">
        <v>2020</v>
      </c>
      <c r="C17" s="24">
        <v>-9.9153405599804891</v>
      </c>
      <c r="D17" s="24">
        <v>-5.6888341185353237</v>
      </c>
      <c r="E17" s="24">
        <v>-13.456798686248073</v>
      </c>
    </row>
    <row r="18" spans="2:5" x14ac:dyDescent="0.2">
      <c r="B18" s="9" t="s">
        <v>9</v>
      </c>
      <c r="C18" s="25">
        <v>6.503728428108535</v>
      </c>
      <c r="D18" s="26">
        <v>10.46914694043339</v>
      </c>
      <c r="E18" s="26">
        <v>3.0810737979870768</v>
      </c>
    </row>
    <row r="19" spans="2:5" x14ac:dyDescent="0.2">
      <c r="B19" s="9" t="s">
        <v>8</v>
      </c>
      <c r="C19" s="25">
        <v>-21.365319095811142</v>
      </c>
      <c r="D19" s="26">
        <v>-15.371197828579639</v>
      </c>
      <c r="E19" s="26">
        <v>-27.015640440459588</v>
      </c>
    </row>
    <row r="20" spans="2:5" x14ac:dyDescent="0.2">
      <c r="B20" s="9" t="s">
        <v>7</v>
      </c>
      <c r="C20" s="25">
        <v>10.85430194211534</v>
      </c>
      <c r="D20" s="26">
        <v>-3.6597382494000348</v>
      </c>
      <c r="E20" s="26">
        <v>26.718726970541091</v>
      </c>
    </row>
    <row r="21" spans="2:5" x14ac:dyDescent="0.2">
      <c r="B21" s="9" t="s">
        <v>6</v>
      </c>
      <c r="C21" s="25">
        <v>17.645379579103771</v>
      </c>
      <c r="D21" s="26">
        <v>24.268135154120049</v>
      </c>
      <c r="E21" s="26">
        <v>12.141844197792629</v>
      </c>
    </row>
    <row r="22" spans="2:5" x14ac:dyDescent="0.2">
      <c r="B22" s="10"/>
      <c r="C22" s="25"/>
      <c r="D22" s="26"/>
      <c r="E22" s="26"/>
    </row>
    <row r="23" spans="2:5" x14ac:dyDescent="0.2">
      <c r="B23" s="15">
        <v>2021</v>
      </c>
      <c r="C23" s="24">
        <v>18.949777712826553</v>
      </c>
      <c r="D23" s="24">
        <v>15.983941285705928</v>
      </c>
      <c r="E23" s="24">
        <v>21.987016074024289</v>
      </c>
    </row>
    <row r="24" spans="2:5" x14ac:dyDescent="0.2">
      <c r="B24" s="9" t="s">
        <v>9</v>
      </c>
      <c r="C24" s="25">
        <v>4.1420276129740197</v>
      </c>
      <c r="D24" s="26">
        <v>6.1400055106013207</v>
      </c>
      <c r="E24" s="26">
        <v>1.187754967405485</v>
      </c>
    </row>
    <row r="25" spans="2:5" x14ac:dyDescent="0.2">
      <c r="B25" s="9" t="s">
        <v>8</v>
      </c>
      <c r="C25" s="25">
        <v>4.7021789874958753</v>
      </c>
      <c r="D25" s="26">
        <v>1.127345553251113</v>
      </c>
      <c r="E25" s="26">
        <v>9.5447068441700811</v>
      </c>
    </row>
    <row r="26" spans="2:5" x14ac:dyDescent="0.2">
      <c r="B26" s="9" t="s">
        <v>7</v>
      </c>
      <c r="C26" s="25">
        <v>-6.9431807945809831</v>
      </c>
      <c r="D26" s="26">
        <v>-11.84424306023114</v>
      </c>
      <c r="E26" s="26">
        <v>-0.81426369673697208</v>
      </c>
    </row>
    <row r="27" spans="2:5" x14ac:dyDescent="0.2">
      <c r="B27" s="9" t="s">
        <v>6</v>
      </c>
      <c r="C27" s="25">
        <v>10.979036395645529</v>
      </c>
      <c r="D27" s="26">
        <v>18.968630611443121</v>
      </c>
      <c r="E27" s="26">
        <v>2.0988985670345128</v>
      </c>
    </row>
    <row r="28" spans="2:5" x14ac:dyDescent="0.2">
      <c r="B28" s="10"/>
      <c r="C28" s="25"/>
      <c r="D28" s="26"/>
      <c r="E28" s="26"/>
    </row>
    <row r="29" spans="2:5" x14ac:dyDescent="0.2">
      <c r="B29" s="15">
        <v>2022</v>
      </c>
      <c r="C29" s="24">
        <v>-5.7374508978883405</v>
      </c>
      <c r="D29" s="24">
        <v>-4.3419651836747564</v>
      </c>
      <c r="E29" s="24">
        <v>-7.6149381875893596</v>
      </c>
    </row>
    <row r="30" spans="2:5" x14ac:dyDescent="0.2">
      <c r="B30" s="9" t="s">
        <v>9</v>
      </c>
      <c r="C30" s="25">
        <v>-10.861264237655471</v>
      </c>
      <c r="D30" s="26">
        <v>-8.0823661651845171</v>
      </c>
      <c r="E30" s="26">
        <v>-15.041006997836909</v>
      </c>
    </row>
    <row r="31" spans="2:5" x14ac:dyDescent="0.2">
      <c r="B31" s="9" t="s">
        <v>8</v>
      </c>
      <c r="C31" s="25">
        <v>2.897708678647914</v>
      </c>
      <c r="D31" s="26">
        <v>1.9730321002187521</v>
      </c>
      <c r="E31" s="26">
        <v>4.3540975086594944</v>
      </c>
    </row>
    <row r="32" spans="2:5" x14ac:dyDescent="0.2">
      <c r="B32" s="9" t="s">
        <v>7</v>
      </c>
      <c r="C32" s="25">
        <v>-3.0999674458986548</v>
      </c>
      <c r="D32" s="26">
        <v>-7.9502984654656439</v>
      </c>
      <c r="E32" s="26">
        <v>4.3651163549123018</v>
      </c>
    </row>
    <row r="33" spans="2:12" x14ac:dyDescent="0.2">
      <c r="B33" s="9" t="s">
        <v>6</v>
      </c>
      <c r="C33" s="25">
        <v>-1.0883443155697781</v>
      </c>
      <c r="D33" s="26">
        <v>-0.85975946311053209</v>
      </c>
      <c r="E33" s="26">
        <v>-1.3986414603098349</v>
      </c>
    </row>
    <row r="34" spans="2:12" x14ac:dyDescent="0.2">
      <c r="B34" s="10"/>
      <c r="C34" s="25"/>
      <c r="D34" s="26"/>
      <c r="E34" s="26"/>
    </row>
    <row r="35" spans="2:12" x14ac:dyDescent="0.2">
      <c r="B35" s="15" t="s">
        <v>4</v>
      </c>
      <c r="C35" s="24">
        <v>-1.7524650243364026</v>
      </c>
      <c r="D35" s="24">
        <v>2.5230368329210551</v>
      </c>
      <c r="E35" s="24">
        <v>-5.7681977282413976</v>
      </c>
      <c r="J35" s="17"/>
      <c r="K35" s="17"/>
      <c r="L35" s="17"/>
    </row>
    <row r="36" spans="2:12" x14ac:dyDescent="0.2">
      <c r="B36" s="9" t="s">
        <v>9</v>
      </c>
      <c r="C36" s="25">
        <v>-2.3811639678341101</v>
      </c>
      <c r="D36" s="26">
        <v>3.6859615661137379</v>
      </c>
      <c r="E36" s="26">
        <v>-8.9317669729400802</v>
      </c>
      <c r="J36" s="17"/>
      <c r="K36" s="17"/>
      <c r="L36" s="17"/>
    </row>
    <row r="37" spans="2:12" x14ac:dyDescent="0.2">
      <c r="B37" s="9" t="s">
        <v>8</v>
      </c>
      <c r="C37" s="25">
        <v>3.1082729751035432</v>
      </c>
      <c r="D37" s="26">
        <v>4.5735228249203619</v>
      </c>
      <c r="E37" s="26">
        <v>1.502793760521004</v>
      </c>
      <c r="J37" s="17"/>
      <c r="K37" s="17"/>
      <c r="L37" s="17"/>
    </row>
    <row r="38" spans="2:12" x14ac:dyDescent="0.2">
      <c r="B38" s="9" t="s">
        <v>7</v>
      </c>
      <c r="C38" s="25">
        <v>-4.1033811594206941</v>
      </c>
      <c r="D38" s="26">
        <v>-6.8560679531660673</v>
      </c>
      <c r="E38" s="26">
        <v>-0.99600704387292627</v>
      </c>
      <c r="J38" s="17"/>
      <c r="K38" s="17"/>
      <c r="L38" s="17"/>
    </row>
    <row r="39" spans="2:12" x14ac:dyDescent="0.2">
      <c r="B39" s="9" t="s">
        <v>6</v>
      </c>
      <c r="C39" s="25">
        <v>8.6861470246548436</v>
      </c>
      <c r="D39" s="26">
        <v>14.205505399418231</v>
      </c>
      <c r="E39" s="26">
        <v>2.824398329963973</v>
      </c>
      <c r="J39" s="17"/>
      <c r="K39" s="17"/>
      <c r="L39" s="17"/>
    </row>
    <row r="40" spans="2:12" x14ac:dyDescent="0.2">
      <c r="B40" s="10"/>
      <c r="C40" s="25"/>
      <c r="D40" s="26"/>
      <c r="E40" s="26"/>
      <c r="J40" s="17"/>
      <c r="K40" s="17"/>
      <c r="L40" s="17"/>
    </row>
    <row r="41" spans="2:12" x14ac:dyDescent="0.2">
      <c r="B41" s="15" t="s">
        <v>3</v>
      </c>
      <c r="C41" s="24">
        <v>-0.87672771928017923</v>
      </c>
      <c r="D41" s="24">
        <v>-5.1175571281549592</v>
      </c>
      <c r="E41" s="24">
        <v>4.2070496592333306</v>
      </c>
      <c r="J41" s="17"/>
      <c r="K41" s="17"/>
      <c r="L41" s="17"/>
    </row>
    <row r="42" spans="2:12" x14ac:dyDescent="0.2">
      <c r="B42" s="9" t="s">
        <v>9</v>
      </c>
      <c r="C42" s="25">
        <v>-11.04491481233705</v>
      </c>
      <c r="D42" s="26">
        <v>-9.6904537231492398</v>
      </c>
      <c r="E42" s="26">
        <v>-8.6897855675082685</v>
      </c>
      <c r="J42" s="17"/>
      <c r="K42" s="17"/>
      <c r="L42" s="17"/>
    </row>
    <row r="43" spans="2:12" x14ac:dyDescent="0.2">
      <c r="B43" s="9" t="s">
        <v>8</v>
      </c>
      <c r="C43" s="25">
        <v>2.1972085066850111</v>
      </c>
      <c r="D43" s="26">
        <v>0.93960274229063501</v>
      </c>
      <c r="E43" s="26">
        <v>3.0448526802419722</v>
      </c>
      <c r="J43" s="17"/>
      <c r="K43" s="17"/>
      <c r="L43" s="17"/>
    </row>
    <row r="44" spans="2:12" x14ac:dyDescent="0.2">
      <c r="B44" s="9" t="s">
        <v>7</v>
      </c>
      <c r="C44" s="25">
        <v>6.7346136452168803</v>
      </c>
      <c r="D44" s="26">
        <v>-8.2028211827648185</v>
      </c>
      <c r="E44" s="26">
        <v>16.59696280199918</v>
      </c>
      <c r="J44" s="17"/>
      <c r="K44" s="17"/>
      <c r="L44" s="17"/>
    </row>
    <row r="45" spans="2:12" x14ac:dyDescent="0.2">
      <c r="B45" s="9" t="s">
        <v>6</v>
      </c>
      <c r="C45" s="25">
        <v>3.8509491059407708</v>
      </c>
      <c r="D45" s="26">
        <v>4.3315692736012323</v>
      </c>
      <c r="E45" s="26">
        <v>3.601116891475709</v>
      </c>
      <c r="J45" s="17"/>
      <c r="K45" s="17"/>
      <c r="L45" s="17"/>
    </row>
    <row r="46" spans="2:12" x14ac:dyDescent="0.2">
      <c r="B46" s="10"/>
      <c r="C46" s="25"/>
      <c r="D46" s="26"/>
      <c r="E46" s="26"/>
      <c r="J46" s="17"/>
      <c r="K46" s="17"/>
      <c r="L46" s="17"/>
    </row>
    <row r="47" spans="2:12" x14ac:dyDescent="0.2">
      <c r="B47" s="15" t="s">
        <v>2</v>
      </c>
      <c r="C47" s="24">
        <v>4.8685060980497186</v>
      </c>
      <c r="D47" s="24">
        <v>-1.0019974196201265</v>
      </c>
      <c r="E47" s="24">
        <v>8.5561422109970522</v>
      </c>
      <c r="J47" s="17"/>
      <c r="K47" s="17"/>
      <c r="L47" s="17"/>
    </row>
    <row r="48" spans="2:12" x14ac:dyDescent="0.2">
      <c r="B48" s="9" t="s">
        <v>9</v>
      </c>
      <c r="C48" s="25">
        <v>-10.33550725556514</v>
      </c>
      <c r="D48" s="26">
        <v>-1.797222623220873</v>
      </c>
      <c r="E48" s="26">
        <v>-14.90440309312666</v>
      </c>
      <c r="J48" s="17"/>
      <c r="K48" s="17"/>
      <c r="L48" s="17"/>
    </row>
    <row r="49" spans="2:12" x14ac:dyDescent="0.2">
      <c r="B49" s="9" t="s">
        <v>8</v>
      </c>
      <c r="C49" s="25">
        <v>11.66683091747389</v>
      </c>
      <c r="D49" s="26">
        <v>6.4568935372716352</v>
      </c>
      <c r="E49" s="26">
        <v>15.06633526478538</v>
      </c>
      <c r="J49" s="17"/>
      <c r="K49" s="17"/>
      <c r="L49" s="17"/>
    </row>
    <row r="50" spans="2:12" x14ac:dyDescent="0.2">
      <c r="B50" s="9" t="s">
        <v>7</v>
      </c>
      <c r="C50" s="25">
        <v>0.66639789874818334</v>
      </c>
      <c r="D50" s="26">
        <v>-9.4324240981969005</v>
      </c>
      <c r="E50" s="26">
        <v>6.7628802711077851</v>
      </c>
      <c r="J50" s="17"/>
      <c r="K50" s="17"/>
      <c r="L50" s="17"/>
    </row>
    <row r="51" spans="2:12" x14ac:dyDescent="0.2">
      <c r="B51" s="11" t="s">
        <v>6</v>
      </c>
      <c r="C51" s="27">
        <v>1.6424462316855459</v>
      </c>
      <c r="D51" s="28">
        <v>7.9695201770606294</v>
      </c>
      <c r="E51" s="28">
        <v>-1.597695272156652</v>
      </c>
      <c r="J51" s="17"/>
      <c r="K51" s="17"/>
      <c r="L51" s="17"/>
    </row>
    <row r="52" spans="2:12" ht="12" customHeight="1" x14ac:dyDescent="0.2">
      <c r="B52" s="8" t="s">
        <v>11</v>
      </c>
    </row>
    <row r="53" spans="2:12" ht="11.25" customHeight="1" x14ac:dyDescent="0.2">
      <c r="B53" s="6" t="s">
        <v>0</v>
      </c>
    </row>
    <row r="54" spans="2:12" ht="11.25" customHeight="1" x14ac:dyDescent="0.2">
      <c r="B54" s="6" t="s">
        <v>12</v>
      </c>
    </row>
    <row r="56" spans="2:12" x14ac:dyDescent="0.2">
      <c r="B56" s="18"/>
      <c r="C56" s="18"/>
      <c r="D56" s="18"/>
      <c r="E56" s="18"/>
    </row>
  </sheetData>
  <mergeCells count="2">
    <mergeCell ref="B2:E2"/>
    <mergeCell ref="B56:E56"/>
  </mergeCells>
  <printOptions horizontalCentered="1"/>
  <pageMargins left="0" right="0" top="1.1399999999999999" bottom="0.39370078740157483" header="0.31496062992125984" footer="0.31496062992125984"/>
  <pageSetup scale="62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D89B6-28BC-44E4-8561-E6492E3BBFA5}">
  <dimension ref="B1:AA56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M16" sqref="M16"/>
    </sheetView>
  </sheetViews>
  <sheetFormatPr baseColWidth="10" defaultColWidth="8.88671875" defaultRowHeight="15.75" x14ac:dyDescent="0.2"/>
  <cols>
    <col min="1" max="1" width="1.21875" style="2" customWidth="1"/>
    <col min="2" max="2" width="13.44140625" style="2" customWidth="1"/>
    <col min="3" max="5" width="16.21875" style="2" customWidth="1"/>
    <col min="6" max="7" width="6.21875" style="2" customWidth="1"/>
    <col min="8" max="8" width="11.5546875" style="2" customWidth="1"/>
    <col min="9" max="9" width="6.21875" style="2" customWidth="1"/>
    <col min="10" max="10" width="10.5546875" style="2" customWidth="1"/>
    <col min="11" max="12" width="10.21875" style="2" customWidth="1"/>
    <col min="13" max="14" width="6.21875" style="2" customWidth="1"/>
    <col min="15" max="15" width="6.33203125" style="2" bestFit="1" customWidth="1"/>
    <col min="16" max="19" width="6.21875" style="2" customWidth="1"/>
    <col min="20" max="20" width="6.33203125" style="2" bestFit="1" customWidth="1"/>
    <col min="21" max="24" width="6.21875" style="2" customWidth="1"/>
    <col min="25" max="30" width="6.33203125" style="2" bestFit="1" customWidth="1"/>
    <col min="31" max="16384" width="8.88671875" style="2"/>
  </cols>
  <sheetData>
    <row r="1" spans="2:27" ht="75.75" customHeight="1" x14ac:dyDescent="0.2"/>
    <row r="2" spans="2:27" ht="27.75" customHeight="1" x14ac:dyDescent="0.2">
      <c r="B2" s="19" t="s">
        <v>17</v>
      </c>
      <c r="C2" s="19"/>
      <c r="D2" s="19"/>
      <c r="E2" s="19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2:27" ht="18" customHeight="1" x14ac:dyDescent="0.2">
      <c r="B3" s="16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2:27" ht="71.25" customHeight="1" x14ac:dyDescent="0.2">
      <c r="B4" s="12" t="s">
        <v>10</v>
      </c>
      <c r="C4" s="13" t="s">
        <v>13</v>
      </c>
      <c r="D4" s="13" t="s">
        <v>14</v>
      </c>
      <c r="E4" s="13" t="s">
        <v>15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2:27" x14ac:dyDescent="0.2">
      <c r="B5" s="15">
        <v>2018</v>
      </c>
      <c r="C5" s="23">
        <v>0.7527152460679698</v>
      </c>
      <c r="D5" s="24">
        <v>-0.81372302479656433</v>
      </c>
      <c r="E5" s="24">
        <v>2.4568959462939688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2:27" x14ac:dyDescent="0.2">
      <c r="B6" s="9" t="s">
        <v>9</v>
      </c>
      <c r="C6" s="25">
        <v>-0.94997306110941038</v>
      </c>
      <c r="D6" s="26">
        <v>4.947778349668841</v>
      </c>
      <c r="E6" s="26">
        <v>-7.1124179559301171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2:27" x14ac:dyDescent="0.2">
      <c r="B7" s="9" t="s">
        <v>8</v>
      </c>
      <c r="C7" s="25">
        <v>2.941021267320187</v>
      </c>
      <c r="D7" s="26">
        <v>3.6843123482223961</v>
      </c>
      <c r="E7" s="26">
        <v>2.075942978525092</v>
      </c>
      <c r="G7" s="7"/>
      <c r="H7" s="7"/>
      <c r="I7" s="7"/>
    </row>
    <row r="8" spans="2:27" x14ac:dyDescent="0.2">
      <c r="B8" s="9" t="s">
        <v>7</v>
      </c>
      <c r="C8" s="25">
        <v>-0.83345336547632209</v>
      </c>
      <c r="D8" s="26">
        <v>-7.9500001188743008</v>
      </c>
      <c r="E8" s="26">
        <v>7.0492833611288219</v>
      </c>
      <c r="G8" s="7"/>
      <c r="H8" s="7"/>
      <c r="I8" s="7"/>
    </row>
    <row r="9" spans="2:27" x14ac:dyDescent="0.2">
      <c r="B9" s="9" t="s">
        <v>6</v>
      </c>
      <c r="C9" s="25">
        <v>1.73231708383712</v>
      </c>
      <c r="D9" s="26">
        <v>-3.8984529204993619</v>
      </c>
      <c r="E9" s="26">
        <v>7.5646996494679097</v>
      </c>
      <c r="G9" s="7"/>
      <c r="H9" s="7"/>
      <c r="I9" s="7"/>
    </row>
    <row r="10" spans="2:27" x14ac:dyDescent="0.2">
      <c r="B10" s="10"/>
      <c r="C10" s="25"/>
      <c r="D10" s="26"/>
      <c r="E10" s="26"/>
      <c r="G10" s="7"/>
      <c r="H10" s="7"/>
      <c r="I10" s="7"/>
    </row>
    <row r="11" spans="2:27" x14ac:dyDescent="0.2">
      <c r="B11" s="15">
        <v>2019</v>
      </c>
      <c r="C11" s="24">
        <v>2.4077446737121422</v>
      </c>
      <c r="D11" s="24">
        <v>1.3154195837132843</v>
      </c>
      <c r="E11" s="24">
        <v>2.9638112423080676</v>
      </c>
      <c r="G11" s="7"/>
      <c r="H11" s="7"/>
      <c r="I11" s="7"/>
    </row>
    <row r="12" spans="2:27" x14ac:dyDescent="0.2">
      <c r="B12" s="9" t="s">
        <v>9</v>
      </c>
      <c r="C12" s="25">
        <v>6.0756450231798764</v>
      </c>
      <c r="D12" s="26">
        <v>5.6250048011719622</v>
      </c>
      <c r="E12" s="26">
        <v>7.476774548867815</v>
      </c>
      <c r="G12" s="7"/>
      <c r="H12" s="7"/>
      <c r="I12" s="7"/>
    </row>
    <row r="13" spans="2:27" x14ac:dyDescent="0.2">
      <c r="B13" s="9" t="s">
        <v>8</v>
      </c>
      <c r="C13" s="25">
        <v>3.542168923352262</v>
      </c>
      <c r="D13" s="26">
        <v>-4.7429689721144257</v>
      </c>
      <c r="E13" s="26">
        <v>12.270282806112309</v>
      </c>
      <c r="G13" s="7"/>
      <c r="H13" s="7"/>
      <c r="I13" s="7"/>
    </row>
    <row r="14" spans="2:27" x14ac:dyDescent="0.2">
      <c r="B14" s="9" t="s">
        <v>7</v>
      </c>
      <c r="C14" s="25">
        <v>6.5117763803167916</v>
      </c>
      <c r="D14" s="26">
        <v>5.1379537420304988</v>
      </c>
      <c r="E14" s="26">
        <v>6.1084155411654573</v>
      </c>
      <c r="G14" s="7"/>
      <c r="H14" s="7"/>
      <c r="I14" s="7"/>
    </row>
    <row r="15" spans="2:27" x14ac:dyDescent="0.2">
      <c r="B15" s="9" t="s">
        <v>6</v>
      </c>
      <c r="C15" s="25">
        <v>-6.301831788736612</v>
      </c>
      <c r="D15" s="26">
        <v>9.5192112013031682E-2</v>
      </c>
      <c r="E15" s="26">
        <v>-12.507733047596311</v>
      </c>
      <c r="G15" s="7"/>
      <c r="H15" s="7"/>
      <c r="I15" s="7"/>
    </row>
    <row r="16" spans="2:27" x14ac:dyDescent="0.2">
      <c r="B16" s="10"/>
      <c r="C16" s="25"/>
      <c r="D16" s="26"/>
      <c r="E16" s="26"/>
      <c r="G16" s="7"/>
      <c r="H16" s="7"/>
      <c r="I16" s="7"/>
    </row>
    <row r="17" spans="2:9" x14ac:dyDescent="0.2">
      <c r="B17" s="15">
        <v>2020</v>
      </c>
      <c r="C17" s="24">
        <v>-9.9153405599804891</v>
      </c>
      <c r="D17" s="24">
        <v>-5.6888341185353237</v>
      </c>
      <c r="E17" s="24">
        <v>-13.456798686248073</v>
      </c>
      <c r="G17" s="7"/>
      <c r="H17" s="7"/>
      <c r="I17" s="7"/>
    </row>
    <row r="18" spans="2:9" x14ac:dyDescent="0.2">
      <c r="B18" s="9" t="s">
        <v>9</v>
      </c>
      <c r="C18" s="25">
        <v>-0.27453684080190888</v>
      </c>
      <c r="D18" s="26">
        <v>-1.483413118868415</v>
      </c>
      <c r="E18" s="26">
        <v>0.73936574156123758</v>
      </c>
      <c r="G18" s="7"/>
      <c r="H18" s="7"/>
      <c r="I18" s="7"/>
    </row>
    <row r="19" spans="2:9" x14ac:dyDescent="0.2">
      <c r="B19" s="9" t="s">
        <v>8</v>
      </c>
      <c r="C19" s="25">
        <v>-28.044351115648379</v>
      </c>
      <c r="D19" s="26">
        <v>-17.250256410704051</v>
      </c>
      <c r="E19" s="26">
        <v>-36.911210941600046</v>
      </c>
      <c r="G19" s="7"/>
      <c r="H19" s="7"/>
      <c r="I19" s="7"/>
    </row>
    <row r="20" spans="2:9" x14ac:dyDescent="0.2">
      <c r="B20" s="9" t="s">
        <v>7</v>
      </c>
      <c r="C20" s="25">
        <v>-17.334466050933671</v>
      </c>
      <c r="D20" s="26">
        <v>-14.48772003011012</v>
      </c>
      <c r="E20" s="26">
        <v>-19.316251449248369</v>
      </c>
      <c r="G20" s="7"/>
      <c r="H20" s="7"/>
      <c r="I20" s="7"/>
    </row>
    <row r="21" spans="2:9" x14ac:dyDescent="0.2">
      <c r="B21" s="9" t="s">
        <v>6</v>
      </c>
      <c r="C21" s="25">
        <v>9.2210550000034317</v>
      </c>
      <c r="D21" s="26">
        <v>11.92492120332926</v>
      </c>
      <c r="E21" s="26">
        <v>6.909729467211001</v>
      </c>
      <c r="G21" s="7"/>
      <c r="H21" s="7"/>
      <c r="I21" s="7"/>
    </row>
    <row r="22" spans="2:9" x14ac:dyDescent="0.2">
      <c r="B22" s="10"/>
      <c r="C22" s="25"/>
      <c r="D22" s="26"/>
      <c r="E22" s="26"/>
      <c r="G22" s="7"/>
      <c r="H22" s="7"/>
      <c r="I22" s="7"/>
    </row>
    <row r="23" spans="2:9" x14ac:dyDescent="0.2">
      <c r="B23" s="15">
        <v>2021</v>
      </c>
      <c r="C23" s="24">
        <v>18.949777712826553</v>
      </c>
      <c r="D23" s="24">
        <v>15.983941285705928</v>
      </c>
      <c r="E23" s="24">
        <v>21.987016074024289</v>
      </c>
      <c r="G23" s="7"/>
      <c r="H23" s="7"/>
      <c r="I23" s="7"/>
    </row>
    <row r="24" spans="2:9" x14ac:dyDescent="0.2">
      <c r="B24" s="9" t="s">
        <v>9</v>
      </c>
      <c r="C24" s="25">
        <v>6.7990979621568082</v>
      </c>
      <c r="D24" s="26">
        <v>7.5387298835638106</v>
      </c>
      <c r="E24" s="26">
        <v>4.9460886501844437</v>
      </c>
      <c r="G24" s="7"/>
      <c r="H24" s="7"/>
      <c r="I24" s="7"/>
    </row>
    <row r="25" spans="2:9" x14ac:dyDescent="0.2">
      <c r="B25" s="9" t="s">
        <v>8</v>
      </c>
      <c r="C25" s="25">
        <v>42.20313660535475</v>
      </c>
      <c r="D25" s="26">
        <v>28.50360655305926</v>
      </c>
      <c r="E25" s="26">
        <v>57.517152784605919</v>
      </c>
      <c r="G25" s="7"/>
      <c r="H25" s="7"/>
      <c r="I25" s="7"/>
    </row>
    <row r="26" spans="2:9" x14ac:dyDescent="0.2">
      <c r="B26" s="9" t="s">
        <v>7</v>
      </c>
      <c r="C26" s="25">
        <v>19.372648076732691</v>
      </c>
      <c r="D26" s="26">
        <v>17.586692202490649</v>
      </c>
      <c r="E26" s="26">
        <v>23.292390579071821</v>
      </c>
      <c r="G26" s="7"/>
      <c r="H26" s="7"/>
      <c r="I26" s="7"/>
    </row>
    <row r="27" spans="2:9" x14ac:dyDescent="0.2">
      <c r="B27" s="9" t="s">
        <v>6</v>
      </c>
      <c r="C27" s="25">
        <v>12.60842969735627</v>
      </c>
      <c r="D27" s="26">
        <v>12.57212262910317</v>
      </c>
      <c r="E27" s="26">
        <v>12.250849536747999</v>
      </c>
      <c r="G27" s="7"/>
      <c r="H27" s="7"/>
      <c r="I27" s="7"/>
    </row>
    <row r="28" spans="2:9" x14ac:dyDescent="0.2">
      <c r="B28" s="10"/>
      <c r="C28" s="25"/>
      <c r="D28" s="26"/>
      <c r="E28" s="26"/>
      <c r="G28" s="7"/>
      <c r="H28" s="7"/>
      <c r="I28" s="7"/>
    </row>
    <row r="29" spans="2:9" x14ac:dyDescent="0.2">
      <c r="B29" s="15">
        <v>2022</v>
      </c>
      <c r="C29" s="24">
        <v>-5.7374508978883405</v>
      </c>
      <c r="D29" s="24">
        <v>-4.3419651836747564</v>
      </c>
      <c r="E29" s="24">
        <v>-7.6149381875893596</v>
      </c>
      <c r="G29" s="7"/>
      <c r="H29" s="7"/>
      <c r="I29" s="7"/>
    </row>
    <row r="30" spans="2:9" x14ac:dyDescent="0.2">
      <c r="B30" s="9" t="s">
        <v>9</v>
      </c>
      <c r="C30" s="25">
        <v>-3.6145801125665229</v>
      </c>
      <c r="D30" s="26">
        <v>-2.51212916324608</v>
      </c>
      <c r="E30" s="26">
        <v>-5.7522410359692744</v>
      </c>
      <c r="G30" s="7"/>
      <c r="H30" s="7"/>
      <c r="I30" s="7"/>
    </row>
    <row r="31" spans="2:9" x14ac:dyDescent="0.2">
      <c r="B31" s="9" t="s">
        <v>8</v>
      </c>
      <c r="C31" s="25">
        <v>-5.2757167772914286</v>
      </c>
      <c r="D31" s="26">
        <v>-1.6968780518071049</v>
      </c>
      <c r="E31" s="26">
        <v>-10.21802776015628</v>
      </c>
      <c r="G31" s="7"/>
      <c r="H31" s="7"/>
      <c r="I31" s="7"/>
    </row>
    <row r="32" spans="2:9" x14ac:dyDescent="0.2">
      <c r="B32" s="9" t="s">
        <v>7</v>
      </c>
      <c r="C32" s="25">
        <v>-1.363637761112457</v>
      </c>
      <c r="D32" s="26">
        <v>2.6452877198539948</v>
      </c>
      <c r="E32" s="26">
        <v>-5.5297028724427992</v>
      </c>
      <c r="G32" s="7"/>
      <c r="H32" s="7"/>
      <c r="I32" s="7"/>
    </row>
    <row r="33" spans="2:12" x14ac:dyDescent="0.2">
      <c r="B33" s="9" t="s">
        <v>6</v>
      </c>
      <c r="C33" s="25">
        <v>-12.08892943568226</v>
      </c>
      <c r="D33" s="26">
        <v>-14.462506105826041</v>
      </c>
      <c r="E33" s="26">
        <v>-8.7659145283580315</v>
      </c>
      <c r="G33" s="7"/>
      <c r="H33" s="7"/>
      <c r="I33" s="7"/>
    </row>
    <row r="34" spans="2:12" x14ac:dyDescent="0.2">
      <c r="B34" s="10"/>
      <c r="C34" s="25"/>
      <c r="D34" s="26"/>
      <c r="E34" s="26"/>
    </row>
    <row r="35" spans="2:12" x14ac:dyDescent="0.2">
      <c r="B35" s="15" t="s">
        <v>4</v>
      </c>
      <c r="C35" s="24">
        <v>-1.7524650243364026</v>
      </c>
      <c r="D35" s="24">
        <v>2.5230368329210551</v>
      </c>
      <c r="E35" s="24">
        <v>-5.7681977282413976</v>
      </c>
      <c r="J35" s="17"/>
      <c r="K35" s="17"/>
      <c r="L35" s="17"/>
    </row>
    <row r="36" spans="2:12" x14ac:dyDescent="0.2">
      <c r="B36" s="9" t="s">
        <v>9</v>
      </c>
      <c r="C36" s="25">
        <v>-3.7256215332643889</v>
      </c>
      <c r="D36" s="26">
        <v>-3.5110355395843511</v>
      </c>
      <c r="E36" s="26">
        <v>-2.2054445074383811</v>
      </c>
      <c r="J36" s="17"/>
      <c r="K36" s="17"/>
      <c r="L36" s="17"/>
    </row>
    <row r="37" spans="2:12" x14ac:dyDescent="0.2">
      <c r="B37" s="9" t="s">
        <v>8</v>
      </c>
      <c r="C37" s="25">
        <v>-3.5286108609289819</v>
      </c>
      <c r="D37" s="26">
        <v>-1.050398134306729</v>
      </c>
      <c r="E37" s="26">
        <v>-4.8775195795297206</v>
      </c>
      <c r="J37" s="17"/>
      <c r="K37" s="17"/>
      <c r="L37" s="17"/>
    </row>
    <row r="38" spans="2:12" x14ac:dyDescent="0.2">
      <c r="B38" s="9" t="s">
        <v>7</v>
      </c>
      <c r="C38" s="25">
        <v>-4.5275859105051497</v>
      </c>
      <c r="D38" s="26">
        <v>0.12585417000645641</v>
      </c>
      <c r="E38" s="26">
        <v>-9.7638587447968828</v>
      </c>
      <c r="J38" s="17"/>
      <c r="K38" s="17"/>
      <c r="L38" s="17"/>
    </row>
    <row r="39" spans="2:12" x14ac:dyDescent="0.2">
      <c r="B39" s="9" t="s">
        <v>6</v>
      </c>
      <c r="C39" s="25">
        <v>4.907038131431718</v>
      </c>
      <c r="D39" s="26">
        <v>15.34089202435587</v>
      </c>
      <c r="E39" s="26">
        <v>-5.8990964262523926</v>
      </c>
      <c r="J39" s="17"/>
      <c r="K39" s="17"/>
      <c r="L39" s="17"/>
    </row>
    <row r="40" spans="2:12" x14ac:dyDescent="0.2">
      <c r="B40" s="10"/>
      <c r="C40" s="25"/>
      <c r="D40" s="26"/>
      <c r="E40" s="26"/>
      <c r="J40" s="17"/>
      <c r="K40" s="17"/>
      <c r="L40" s="17"/>
    </row>
    <row r="41" spans="2:12" x14ac:dyDescent="0.2">
      <c r="B41" s="15" t="s">
        <v>3</v>
      </c>
      <c r="C41" s="24">
        <v>-0.87672771928017923</v>
      </c>
      <c r="D41" s="24">
        <v>-5.1175571281549592</v>
      </c>
      <c r="E41" s="24">
        <v>4.2070496592333306</v>
      </c>
      <c r="J41" s="17"/>
      <c r="K41" s="17"/>
      <c r="L41" s="17"/>
    </row>
    <row r="42" spans="2:12" x14ac:dyDescent="0.2">
      <c r="B42" s="9" t="s">
        <v>9</v>
      </c>
      <c r="C42" s="25">
        <v>-4.4035465584534306</v>
      </c>
      <c r="D42" s="26">
        <v>0.46088659017706762</v>
      </c>
      <c r="E42" s="26">
        <v>-5.6490567785915662</v>
      </c>
      <c r="J42" s="17"/>
      <c r="K42" s="17"/>
      <c r="L42" s="17"/>
    </row>
    <row r="43" spans="2:12" x14ac:dyDescent="0.2">
      <c r="B43" s="9" t="s">
        <v>8</v>
      </c>
      <c r="C43" s="25">
        <v>-5.2482366063456247</v>
      </c>
      <c r="D43" s="26">
        <v>-3.0301197701043452</v>
      </c>
      <c r="E43" s="26">
        <v>-4.2156507787337594</v>
      </c>
      <c r="J43" s="17"/>
      <c r="K43" s="17"/>
      <c r="L43" s="17"/>
    </row>
    <row r="44" spans="2:12" x14ac:dyDescent="0.2">
      <c r="B44" s="9" t="s">
        <v>7</v>
      </c>
      <c r="C44" s="25">
        <v>5.4603695135202912</v>
      </c>
      <c r="D44" s="26">
        <v>-4.4321917731173999</v>
      </c>
      <c r="E44" s="26">
        <v>12.805189666590231</v>
      </c>
      <c r="J44" s="17"/>
      <c r="K44" s="17"/>
      <c r="L44" s="17"/>
    </row>
    <row r="45" spans="2:12" x14ac:dyDescent="0.2">
      <c r="B45" s="9" t="s">
        <v>6</v>
      </c>
      <c r="C45" s="25">
        <v>0.76867905307074214</v>
      </c>
      <c r="D45" s="26">
        <v>-12.694756969220229</v>
      </c>
      <c r="E45" s="26">
        <v>13.65730148121742</v>
      </c>
      <c r="J45" s="17"/>
      <c r="K45" s="17"/>
      <c r="L45" s="17"/>
    </row>
    <row r="46" spans="2:12" x14ac:dyDescent="0.2">
      <c r="B46" s="10"/>
      <c r="C46" s="25"/>
      <c r="D46" s="26"/>
      <c r="E46" s="26"/>
      <c r="J46" s="17"/>
      <c r="K46" s="17"/>
      <c r="L46" s="17"/>
    </row>
    <row r="47" spans="2:12" x14ac:dyDescent="0.2">
      <c r="B47" s="15" t="s">
        <v>2</v>
      </c>
      <c r="C47" s="24">
        <v>4.8685060980497186</v>
      </c>
      <c r="D47" s="24">
        <v>-1.0019974196201265</v>
      </c>
      <c r="E47" s="24">
        <v>8.5561422109970522</v>
      </c>
      <c r="J47" s="17"/>
      <c r="K47" s="17"/>
      <c r="L47" s="17"/>
    </row>
    <row r="48" spans="2:12" x14ac:dyDescent="0.2">
      <c r="B48" s="9" t="s">
        <v>9</v>
      </c>
      <c r="C48" s="25">
        <v>1.5722987928007639</v>
      </c>
      <c r="D48" s="26">
        <v>-5.064107853070265</v>
      </c>
      <c r="E48" s="26">
        <v>5.9217303614947259</v>
      </c>
      <c r="J48" s="17"/>
      <c r="K48" s="17"/>
      <c r="L48" s="17"/>
    </row>
    <row r="49" spans="2:12" x14ac:dyDescent="0.2">
      <c r="B49" s="9" t="s">
        <v>8</v>
      </c>
      <c r="C49" s="25">
        <v>10.984016891742129</v>
      </c>
      <c r="D49" s="26">
        <v>0.12502415880075721</v>
      </c>
      <c r="E49" s="26">
        <v>18.27883703635889</v>
      </c>
      <c r="J49" s="17"/>
      <c r="K49" s="17"/>
      <c r="L49" s="17"/>
    </row>
    <row r="50" spans="2:12" x14ac:dyDescent="0.2">
      <c r="B50" s="9" t="s">
        <v>7</v>
      </c>
      <c r="C50" s="25">
        <v>4.6742085183551163</v>
      </c>
      <c r="D50" s="26">
        <v>-1.2161284038339271</v>
      </c>
      <c r="E50" s="26">
        <v>8.3029009817581212</v>
      </c>
      <c r="J50" s="17"/>
      <c r="K50" s="17"/>
      <c r="L50" s="17"/>
    </row>
    <row r="51" spans="2:12" x14ac:dyDescent="0.2">
      <c r="B51" s="11" t="s">
        <v>6</v>
      </c>
      <c r="C51" s="27">
        <v>2.4481981413353</v>
      </c>
      <c r="D51" s="28">
        <v>2.2283791160143451</v>
      </c>
      <c r="E51" s="28">
        <v>2.8681483856983991</v>
      </c>
      <c r="J51" s="17"/>
      <c r="K51" s="17"/>
      <c r="L51" s="17"/>
    </row>
    <row r="52" spans="2:12" ht="12" customHeight="1" x14ac:dyDescent="0.2">
      <c r="B52" s="8" t="s">
        <v>11</v>
      </c>
    </row>
    <row r="53" spans="2:12" ht="11.25" customHeight="1" x14ac:dyDescent="0.2">
      <c r="B53" s="6" t="s">
        <v>0</v>
      </c>
    </row>
    <row r="54" spans="2:12" ht="11.25" customHeight="1" x14ac:dyDescent="0.2">
      <c r="B54" s="6" t="s">
        <v>12</v>
      </c>
    </row>
    <row r="56" spans="2:12" x14ac:dyDescent="0.2">
      <c r="B56" s="18"/>
      <c r="C56" s="18"/>
      <c r="D56" s="18"/>
      <c r="E56" s="18"/>
    </row>
  </sheetData>
  <mergeCells count="2">
    <mergeCell ref="B2:E2"/>
    <mergeCell ref="B56:E56"/>
  </mergeCells>
  <printOptions horizontalCentered="1"/>
  <pageMargins left="0" right="0" top="1.1399999999999999" bottom="0.39370078740157483" header="0.31496062992125984" footer="0.31496062992125984"/>
  <pageSetup scale="62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Indice</vt:lpstr>
      <vt:lpstr>Variación Trimestral</vt:lpstr>
      <vt:lpstr>Variación_interanual</vt:lpstr>
      <vt:lpstr>Indice!Área_de_impresión</vt:lpstr>
      <vt:lpstr>'Variación Trimestral'!Área_de_impresión</vt:lpstr>
      <vt:lpstr>Variación_interanual!Área_de_impresión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JPEREZ</dc:creator>
  <cp:lastModifiedBy>Gladys Cortez Cantuta</cp:lastModifiedBy>
  <cp:lastPrinted>2021-12-20T23:14:10Z</cp:lastPrinted>
  <dcterms:created xsi:type="dcterms:W3CDTF">2003-12-08T19:00:41Z</dcterms:created>
  <dcterms:modified xsi:type="dcterms:W3CDTF">2026-03-31T13:56:21Z</dcterms:modified>
</cp:coreProperties>
</file>