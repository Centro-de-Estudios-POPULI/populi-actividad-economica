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svrtruenasine.ine.gov.bo\UEIE-2024\1. Página Web\2026 - 06. Junio\Manufactura 01-26\"/>
    </mc:Choice>
  </mc:AlternateContent>
  <xr:revisionPtr revIDLastSave="0" documentId="13_ncr:1_{4A991E3B-3033-4B01-BF47-04520FDCC1B2}" xr6:coauthVersionLast="47" xr6:coauthVersionMax="47" xr10:uidLastSave="{00000000-0000-0000-0000-000000000000}"/>
  <bookViews>
    <workbookView xWindow="-120" yWindow="-120" windowWidth="29040" windowHeight="15720" tabRatio="648" xr2:uid="{00000000-000D-0000-FFFF-FFFF00000000}"/>
  </bookViews>
  <sheets>
    <sheet name="cuadro_1" sheetId="14" r:id="rId1"/>
  </sheets>
  <definedNames>
    <definedName name="_xlnm.Print_Area" localSheetId="0">cuadro_1!$B$1:$M$6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9" i="14" l="1"/>
  <c r="D59" i="14"/>
  <c r="C59" i="14"/>
  <c r="C53" i="14"/>
  <c r="E5" i="14"/>
  <c r="D5" i="14"/>
  <c r="C5" i="14"/>
  <c r="C11" i="14"/>
  <c r="E53" i="14"/>
  <c r="D53" i="14"/>
  <c r="E47" i="14"/>
  <c r="D47" i="14"/>
  <c r="C47" i="14"/>
  <c r="E41" i="14"/>
  <c r="D41" i="14"/>
  <c r="C41" i="14"/>
  <c r="E35" i="14"/>
  <c r="D35" i="14"/>
  <c r="C35" i="14"/>
  <c r="E29" i="14"/>
  <c r="D29" i="14"/>
  <c r="C29" i="14"/>
  <c r="E23" i="14"/>
  <c r="D23" i="14"/>
  <c r="C23" i="14"/>
  <c r="E17" i="14"/>
  <c r="D17" i="14"/>
  <c r="C17" i="14"/>
  <c r="E11" i="14"/>
  <c r="D11" i="14"/>
</calcChain>
</file>

<file path=xl/sharedStrings.xml><?xml version="1.0" encoding="utf-8"?>
<sst xmlns="http://schemas.openxmlformats.org/spreadsheetml/2006/main" count="51" uniqueCount="18">
  <si>
    <t xml:space="preserve">   Nota: La muestra utilizada para los índices, corresponde principalmente a empresas grandes y medianas.</t>
  </si>
  <si>
    <r>
      <rPr>
        <vertAlign val="superscript"/>
        <sz val="8"/>
        <color rgb="FF002060"/>
        <rFont val="Arial"/>
        <family val="2"/>
      </rPr>
      <t xml:space="preserve">     (p)</t>
    </r>
    <r>
      <rPr>
        <sz val="8"/>
        <color rgb="FF002060"/>
        <rFont val="Arial"/>
        <family val="2"/>
      </rPr>
      <t xml:space="preserve"> Preliminar</t>
    </r>
  </si>
  <si>
    <t>(Año de referencia 2017 - Base Móvil)</t>
  </si>
  <si>
    <r>
      <t>2025</t>
    </r>
    <r>
      <rPr>
        <b/>
        <vertAlign val="superscript"/>
        <sz val="10"/>
        <rFont val="Arial"/>
        <family val="2"/>
      </rPr>
      <t>(p)</t>
    </r>
  </si>
  <si>
    <r>
      <t>2024</t>
    </r>
    <r>
      <rPr>
        <b/>
        <vertAlign val="superscript"/>
        <sz val="10"/>
        <rFont val="Arial"/>
        <family val="2"/>
      </rPr>
      <t>(p)</t>
    </r>
  </si>
  <si>
    <r>
      <t>2023</t>
    </r>
    <r>
      <rPr>
        <b/>
        <vertAlign val="superscript"/>
        <sz val="10"/>
        <rFont val="Arial"/>
        <family val="2"/>
      </rPr>
      <t>(p)</t>
    </r>
  </si>
  <si>
    <t xml:space="preserve">   I    Trimestre </t>
  </si>
  <si>
    <t xml:space="preserve">   II   Trimestre </t>
  </si>
  <si>
    <t xml:space="preserve">   III  Trimestre </t>
  </si>
  <si>
    <t xml:space="preserve">   IV Trimestre </t>
  </si>
  <si>
    <t>PERIODO</t>
  </si>
  <si>
    <t>Fuente: Instituto Nacional de Estadística</t>
  </si>
  <si>
    <t>INDUSTRIA MANUFACTUERA</t>
  </si>
  <si>
    <t xml:space="preserve">
OTRAS INDUSTRIAS MANUFACTURERAS</t>
  </si>
  <si>
    <t xml:space="preserve"> 
INDUSTRIA DE ALIMENTOS Y BEBIDAS</t>
  </si>
  <si>
    <t>BOLIVIA: PORCENTAJE DE UTILIZACIÓN DE LA CAPACIDAD PRODUCTIVA INSTALADA DE LA INDUSTRIA MANUFACTURERA SEGÚN TRIMESTRE 2017 - 2026</t>
  </si>
  <si>
    <r>
      <t>2026</t>
    </r>
    <r>
      <rPr>
        <b/>
        <vertAlign val="superscript"/>
        <sz val="10"/>
        <rFont val="Arial"/>
        <family val="2"/>
      </rPr>
      <t>(p)</t>
    </r>
  </si>
  <si>
    <t xml:space="preserve">   II   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</si>
</sst>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.00"/>
    <numFmt numFmtId="165" formatCode="#,##0.00_ ;\-#,##0.00\ "/>
    <numFmt numFmtId="166" formatCode="#,##0.0\ _€;\-#,##0.0\ _€"/>
    <numFmt numFmtId="167" formatCode="0.0"/>
  </numFmts>
  <fonts count="18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12"/>
      <name val="Garamond"/>
      <family val="1"/>
    </font>
    <font>
      <sz val="10"/>
      <name val="Arial"/>
      <family val="2"/>
    </font>
    <font>
      <sz val="12"/>
      <name val="Arial"/>
      <family val="2"/>
    </font>
    <font>
      <sz val="8"/>
      <color rgb="FF002060"/>
      <name val="Arial"/>
      <family val="2"/>
    </font>
    <font>
      <vertAlign val="superscript"/>
      <sz val="8"/>
      <color rgb="FF002060"/>
      <name val="Arial"/>
      <family val="2"/>
    </font>
    <font>
      <b/>
      <sz val="10"/>
      <color theme="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rgb="FF1C335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5" fillId="0" borderId="0">
      <protection locked="0"/>
    </xf>
    <xf numFmtId="164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5" fillId="0" borderId="1">
      <protection locked="0"/>
    </xf>
    <xf numFmtId="0" fontId="4" fillId="0" borderId="0"/>
    <xf numFmtId="0" fontId="3" fillId="0" borderId="0"/>
    <xf numFmtId="0" fontId="2" fillId="0" borderId="0"/>
    <xf numFmtId="0" fontId="1" fillId="0" borderId="0"/>
    <xf numFmtId="0" fontId="9" fillId="0" borderId="0"/>
  </cellStyleXfs>
  <cellXfs count="23">
    <xf numFmtId="0" fontId="0" fillId="0" borderId="0" xfId="0"/>
    <xf numFmtId="0" fontId="8" fillId="2" borderId="0" xfId="5" applyFont="1" applyFill="1" applyAlignment="1">
      <alignment vertical="top"/>
    </xf>
    <xf numFmtId="0" fontId="8" fillId="0" borderId="0" xfId="5" applyFont="1" applyAlignment="1">
      <alignment vertical="top"/>
    </xf>
    <xf numFmtId="2" fontId="8" fillId="2" borderId="0" xfId="5" applyNumberFormat="1" applyFont="1" applyFill="1" applyAlignment="1">
      <alignment vertical="top"/>
    </xf>
    <xf numFmtId="0" fontId="10" fillId="2" borderId="0" xfId="5" applyFont="1" applyFill="1" applyAlignment="1">
      <alignment vertical="top"/>
    </xf>
    <xf numFmtId="165" fontId="9" fillId="2" borderId="0" xfId="5" applyNumberFormat="1" applyFont="1" applyFill="1" applyAlignment="1">
      <alignment vertical="top"/>
    </xf>
    <xf numFmtId="0" fontId="11" fillId="2" borderId="0" xfId="5" applyFont="1" applyFill="1" applyAlignment="1">
      <alignment horizontal="left" indent="1"/>
    </xf>
    <xf numFmtId="167" fontId="8" fillId="0" borderId="0" xfId="5" applyNumberFormat="1" applyFont="1" applyAlignment="1">
      <alignment vertical="top"/>
    </xf>
    <xf numFmtId="0" fontId="13" fillId="3" borderId="2" xfId="5" applyFont="1" applyFill="1" applyBorder="1" applyAlignment="1">
      <alignment horizontal="center" vertical="center"/>
    </xf>
    <xf numFmtId="0" fontId="13" fillId="3" borderId="2" xfId="5" applyFont="1" applyFill="1" applyBorder="1" applyAlignment="1">
      <alignment horizontal="center" vertical="center" wrapText="1"/>
    </xf>
    <xf numFmtId="0" fontId="15" fillId="4" borderId="3" xfId="5" applyFont="1" applyFill="1" applyBorder="1" applyAlignment="1">
      <alignment horizontal="left" vertical="center"/>
    </xf>
    <xf numFmtId="166" fontId="15" fillId="4" borderId="4" xfId="5" applyNumberFormat="1" applyFont="1" applyFill="1" applyBorder="1" applyAlignment="1">
      <alignment horizontal="right" vertical="center"/>
    </xf>
    <xf numFmtId="0" fontId="9" fillId="0" borderId="4" xfId="5" applyFont="1" applyBorder="1" applyAlignment="1">
      <alignment horizontal="left" vertical="center"/>
    </xf>
    <xf numFmtId="166" fontId="9" fillId="0" borderId="4" xfId="5" applyNumberFormat="1" applyFont="1" applyBorder="1" applyAlignment="1">
      <alignment horizontal="right" vertical="center"/>
    </xf>
    <xf numFmtId="166" fontId="9" fillId="0" borderId="4" xfId="5" applyNumberFormat="1" applyFont="1" applyBorder="1" applyAlignment="1">
      <alignment vertical="top"/>
    </xf>
    <xf numFmtId="0" fontId="15" fillId="0" borderId="4" xfId="5" applyFont="1" applyBorder="1" applyAlignment="1">
      <alignment horizontal="left" vertical="center"/>
    </xf>
    <xf numFmtId="0" fontId="15" fillId="4" borderId="5" xfId="5" applyFont="1" applyFill="1" applyBorder="1" applyAlignment="1">
      <alignment horizontal="left" vertical="center"/>
    </xf>
    <xf numFmtId="166" fontId="15" fillId="4" borderId="6" xfId="5" applyNumberFormat="1" applyFont="1" applyFill="1" applyBorder="1" applyAlignment="1">
      <alignment horizontal="right" vertical="center"/>
    </xf>
    <xf numFmtId="0" fontId="17" fillId="0" borderId="0" xfId="11" applyFont="1" applyAlignment="1">
      <alignment vertical="center"/>
    </xf>
    <xf numFmtId="0" fontId="11" fillId="2" borderId="7" xfId="5" applyFont="1" applyFill="1" applyBorder="1" applyAlignment="1">
      <alignment horizontal="left"/>
    </xf>
    <xf numFmtId="0" fontId="8" fillId="0" borderId="7" xfId="5" applyFont="1" applyBorder="1" applyAlignment="1">
      <alignment vertical="top"/>
    </xf>
    <xf numFmtId="0" fontId="14" fillId="0" borderId="0" xfId="5" applyFont="1" applyAlignment="1">
      <alignment horizontal="left" vertical="center" wrapText="1"/>
    </xf>
    <xf numFmtId="0" fontId="17" fillId="0" borderId="0" xfId="5" applyFont="1" applyAlignment="1">
      <alignment vertical="top" wrapText="1"/>
    </xf>
  </cellXfs>
  <cellStyles count="12">
    <cellStyle name="Date" xfId="1" xr:uid="{00000000-0005-0000-0000-000000000000}"/>
    <cellStyle name="Fixed" xfId="2" xr:uid="{00000000-0005-0000-0000-000001000000}"/>
    <cellStyle name="Heading1" xfId="3" xr:uid="{00000000-0005-0000-0000-000002000000}"/>
    <cellStyle name="Heading2" xfId="4" xr:uid="{00000000-0005-0000-0000-000003000000}"/>
    <cellStyle name="Normal" xfId="0" builtinId="0"/>
    <cellStyle name="Normal 10" xfId="11" xr:uid="{00000000-0005-0000-0000-000005000000}"/>
    <cellStyle name="Normal 2" xfId="7" xr:uid="{00000000-0005-0000-0000-000006000000}"/>
    <cellStyle name="Normal 3" xfId="8" xr:uid="{00000000-0005-0000-0000-000007000000}"/>
    <cellStyle name="Normal 6" xfId="9" xr:uid="{00000000-0005-0000-0000-000008000000}"/>
    <cellStyle name="Normal_INVOFIM A JUNIO DE 2003" xfId="5" xr:uid="{00000000-0005-0000-0000-000009000000}"/>
    <cellStyle name="style1545228365601 2" xfId="10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1C335D"/>
      <color rgb="FFFFFF99"/>
      <color rgb="FFCCFFFF"/>
      <color rgb="FFFFFFCC"/>
      <color rgb="FF99FF99"/>
      <color rgb="FF800000"/>
      <color rgb="FFCFFBFD"/>
      <color rgb="FFD5F3F7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</xdr:rowOff>
    </xdr:from>
    <xdr:to>
      <xdr:col>3</xdr:col>
      <xdr:colOff>542925</xdr:colOff>
      <xdr:row>0</xdr:row>
      <xdr:rowOff>983243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745169-50C3-4CA0-A64E-09B7D5F5F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"/>
          <a:ext cx="2867025" cy="9832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66"/>
  <sheetViews>
    <sheetView showGridLines="0" tabSelected="1" zoomScaleNormal="100" workbookViewId="0">
      <selection activeCell="K4" sqref="K4"/>
    </sheetView>
  </sheetViews>
  <sheetFormatPr baseColWidth="10" defaultColWidth="8.88671875" defaultRowHeight="15.75" x14ac:dyDescent="0.2"/>
  <cols>
    <col min="1" max="1" width="1.21875" style="2" customWidth="1"/>
    <col min="2" max="2" width="10.88671875" style="2" customWidth="1"/>
    <col min="3" max="5" width="17" style="2" customWidth="1"/>
    <col min="6" max="6" width="5.44140625" style="2" customWidth="1"/>
    <col min="7" max="7" width="6.21875" style="2" customWidth="1"/>
    <col min="8" max="8" width="6.33203125" style="2" bestFit="1" customWidth="1"/>
    <col min="9" max="12" width="6.21875" style="2" customWidth="1"/>
    <col min="13" max="13" width="6.33203125" style="2" bestFit="1" customWidth="1"/>
    <col min="14" max="17" width="6.21875" style="2" customWidth="1"/>
    <col min="18" max="23" width="6.33203125" style="2" bestFit="1" customWidth="1"/>
    <col min="24" max="16384" width="8.88671875" style="2"/>
  </cols>
  <sheetData>
    <row r="1" spans="2:20" ht="83.25" customHeight="1" x14ac:dyDescent="0.2"/>
    <row r="2" spans="2:20" ht="30.75" customHeight="1" x14ac:dyDescent="0.2">
      <c r="B2" s="22" t="s">
        <v>15</v>
      </c>
      <c r="C2" s="22"/>
      <c r="D2" s="22"/>
      <c r="E2" s="2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20" ht="18" customHeight="1" x14ac:dyDescent="0.2">
      <c r="B3" s="1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2:20" ht="71.25" customHeight="1" x14ac:dyDescent="0.2">
      <c r="B4" s="8" t="s">
        <v>10</v>
      </c>
      <c r="C4" s="9" t="s">
        <v>12</v>
      </c>
      <c r="D4" s="9" t="s">
        <v>14</v>
      </c>
      <c r="E4" s="9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20" ht="18" customHeight="1" x14ac:dyDescent="0.2">
      <c r="B5" s="10">
        <v>2017</v>
      </c>
      <c r="C5" s="11">
        <f>AVERAGE(C6:C9)</f>
        <v>74.016389407276918</v>
      </c>
      <c r="D5" s="11">
        <f>AVERAGE(D6:D9)</f>
        <v>68.939504015127284</v>
      </c>
      <c r="E5" s="11">
        <f>AVERAGE(E6:E9)</f>
        <v>78.083747476180136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20" x14ac:dyDescent="0.2">
      <c r="B6" s="12" t="s">
        <v>6</v>
      </c>
      <c r="C6" s="13">
        <v>73.182924991922803</v>
      </c>
      <c r="D6" s="14">
        <v>67.165618709712049</v>
      </c>
      <c r="E6" s="14">
        <v>77.981766568118843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20" x14ac:dyDescent="0.2">
      <c r="B7" s="12" t="s">
        <v>7</v>
      </c>
      <c r="C7" s="13">
        <v>75.367667909219875</v>
      </c>
      <c r="D7" s="14">
        <v>71.824862342619411</v>
      </c>
      <c r="E7" s="14">
        <v>78.194373514820754</v>
      </c>
      <c r="F7" s="1"/>
      <c r="G7" s="1"/>
      <c r="H7" s="1"/>
      <c r="I7" s="3"/>
      <c r="J7" s="3"/>
      <c r="K7" s="3"/>
      <c r="L7" s="3"/>
      <c r="M7" s="3"/>
      <c r="N7" s="3"/>
      <c r="O7" s="3"/>
      <c r="P7" s="3"/>
      <c r="Q7" s="3"/>
      <c r="R7" s="3"/>
    </row>
    <row r="8" spans="2:20" x14ac:dyDescent="0.2">
      <c r="B8" s="12" t="s">
        <v>8</v>
      </c>
      <c r="C8" s="13">
        <v>74.733209151644218</v>
      </c>
      <c r="D8" s="14">
        <v>70.219130678672016</v>
      </c>
      <c r="E8" s="14">
        <v>78.338707422260356</v>
      </c>
      <c r="J8" s="3"/>
      <c r="K8" s="3"/>
      <c r="L8" s="3"/>
      <c r="M8" s="3"/>
      <c r="N8" s="3"/>
      <c r="O8" s="3"/>
      <c r="P8" s="3"/>
      <c r="Q8" s="3"/>
      <c r="R8" s="3"/>
    </row>
    <row r="9" spans="2:20" x14ac:dyDescent="0.2">
      <c r="B9" s="12" t="s">
        <v>9</v>
      </c>
      <c r="C9" s="13">
        <v>72.781755576320762</v>
      </c>
      <c r="D9" s="14">
        <v>66.548404329505658</v>
      </c>
      <c r="E9" s="14">
        <v>77.820142399520591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2:20" x14ac:dyDescent="0.2">
      <c r="B10" s="15"/>
      <c r="C10" s="13"/>
      <c r="D10" s="14"/>
      <c r="E10" s="1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x14ac:dyDescent="0.2">
      <c r="B11" s="16">
        <v>2018</v>
      </c>
      <c r="C11" s="17">
        <f>AVERAGE(C12:C15)</f>
        <v>72.892871455050084</v>
      </c>
      <c r="D11" s="11">
        <f>AVERAGE(D12:D15)</f>
        <v>67.783419837331436</v>
      </c>
      <c r="E11" s="11">
        <f>AVERAGE(E12:E15)</f>
        <v>76.962681398479177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0" x14ac:dyDescent="0.2">
      <c r="B12" s="12" t="s">
        <v>6</v>
      </c>
      <c r="C12" s="13">
        <v>71.078869858003799</v>
      </c>
      <c r="D12" s="14">
        <v>65.084459099912522</v>
      </c>
      <c r="E12" s="14">
        <v>75.853047440085561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x14ac:dyDescent="0.2">
      <c r="B13" s="12" t="s">
        <v>7</v>
      </c>
      <c r="C13" s="13">
        <v>72.556611455647342</v>
      </c>
      <c r="D13" s="14">
        <v>67.048988864956598</v>
      </c>
      <c r="E13" s="14">
        <v>76.93476408292004</v>
      </c>
    </row>
    <row r="14" spans="2:20" x14ac:dyDescent="0.2">
      <c r="B14" s="12" t="s">
        <v>8</v>
      </c>
      <c r="C14" s="13">
        <v>74.604151142092675</v>
      </c>
      <c r="D14" s="14">
        <v>68.085617326939882</v>
      </c>
      <c r="E14" s="14">
        <v>79.808644745586093</v>
      </c>
    </row>
    <row r="15" spans="2:20" x14ac:dyDescent="0.2">
      <c r="B15" s="12" t="s">
        <v>9</v>
      </c>
      <c r="C15" s="13">
        <v>73.331853364456478</v>
      </c>
      <c r="D15" s="14">
        <v>70.914614057516758</v>
      </c>
      <c r="E15" s="14">
        <v>75.254269325325012</v>
      </c>
    </row>
    <row r="16" spans="2:20" x14ac:dyDescent="0.2">
      <c r="B16" s="15"/>
      <c r="C16" s="13"/>
      <c r="D16" s="14"/>
      <c r="E16" s="14"/>
    </row>
    <row r="17" spans="2:5" x14ac:dyDescent="0.2">
      <c r="B17" s="16">
        <v>2019</v>
      </c>
      <c r="C17" s="11">
        <f>AVERAGE(C18:C21)</f>
        <v>70.751455476186678</v>
      </c>
      <c r="D17" s="11">
        <f>AVERAGE(D18:D21)</f>
        <v>64.884686906393725</v>
      </c>
      <c r="E17" s="11">
        <f>AVERAGE(E18:E21)</f>
        <v>74.960564671782834</v>
      </c>
    </row>
    <row r="18" spans="2:5" x14ac:dyDescent="0.2">
      <c r="B18" s="12" t="s">
        <v>6</v>
      </c>
      <c r="C18" s="13">
        <v>70.360476322878398</v>
      </c>
      <c r="D18" s="14">
        <v>66.807046138441208</v>
      </c>
      <c r="E18" s="14">
        <v>72.901021918966677</v>
      </c>
    </row>
    <row r="19" spans="2:5" x14ac:dyDescent="0.2">
      <c r="B19" s="12" t="s">
        <v>7</v>
      </c>
      <c r="C19" s="13">
        <v>69.234237361198979</v>
      </c>
      <c r="D19" s="14">
        <v>63.325882435904482</v>
      </c>
      <c r="E19" s="14">
        <v>73.486010437641028</v>
      </c>
    </row>
    <row r="20" spans="2:5" x14ac:dyDescent="0.2">
      <c r="B20" s="12" t="s">
        <v>8</v>
      </c>
      <c r="C20" s="13">
        <v>72.005645563862473</v>
      </c>
      <c r="D20" s="14">
        <v>64.128713623133621</v>
      </c>
      <c r="E20" s="14">
        <v>77.663698859205567</v>
      </c>
    </row>
    <row r="21" spans="2:5" x14ac:dyDescent="0.2">
      <c r="B21" s="12" t="s">
        <v>9</v>
      </c>
      <c r="C21" s="13">
        <v>71.405462656806904</v>
      </c>
      <c r="D21" s="14">
        <v>65.277105428095595</v>
      </c>
      <c r="E21" s="14">
        <v>75.791527471318076</v>
      </c>
    </row>
    <row r="22" spans="2:5" x14ac:dyDescent="0.2">
      <c r="B22" s="15"/>
      <c r="C22" s="13"/>
      <c r="D22" s="14"/>
      <c r="E22" s="14"/>
    </row>
    <row r="23" spans="2:5" x14ac:dyDescent="0.2">
      <c r="B23" s="16">
        <v>2020</v>
      </c>
      <c r="C23" s="11">
        <f>AVERAGE(C24:C27)</f>
        <v>67.262767412317814</v>
      </c>
      <c r="D23" s="11">
        <f>AVERAGE(D24:D27)</f>
        <v>63.193270351021077</v>
      </c>
      <c r="E23" s="11">
        <f>AVERAGE(E24:E27)</f>
        <v>70.571249873702214</v>
      </c>
    </row>
    <row r="24" spans="2:5" x14ac:dyDescent="0.2">
      <c r="B24" s="12" t="s">
        <v>6</v>
      </c>
      <c r="C24" s="13">
        <v>68.479017917247617</v>
      </c>
      <c r="D24" s="14">
        <v>62.40671837438461</v>
      </c>
      <c r="E24" s="14">
        <v>73.396619989074509</v>
      </c>
    </row>
    <row r="25" spans="2:5" x14ac:dyDescent="0.2">
      <c r="B25" s="12" t="s">
        <v>7</v>
      </c>
      <c r="C25" s="13">
        <v>62.617339694484173</v>
      </c>
      <c r="D25" s="14">
        <v>62.435627687289163</v>
      </c>
      <c r="E25" s="14">
        <v>62.793922667568111</v>
      </c>
    </row>
    <row r="26" spans="2:5" x14ac:dyDescent="0.2">
      <c r="B26" s="12" t="s">
        <v>8</v>
      </c>
      <c r="C26" s="13">
        <v>68.508132352375455</v>
      </c>
      <c r="D26" s="14">
        <v>63.726175687185162</v>
      </c>
      <c r="E26" s="14">
        <v>72.383681347991441</v>
      </c>
    </row>
    <row r="27" spans="2:5" x14ac:dyDescent="0.2">
      <c r="B27" s="12" t="s">
        <v>9</v>
      </c>
      <c r="C27" s="13">
        <v>69.446579685164011</v>
      </c>
      <c r="D27" s="14">
        <v>64.204559655225381</v>
      </c>
      <c r="E27" s="14">
        <v>73.710775490174768</v>
      </c>
    </row>
    <row r="28" spans="2:5" x14ac:dyDescent="0.2">
      <c r="B28" s="15"/>
      <c r="C28" s="13"/>
      <c r="D28" s="14"/>
      <c r="E28" s="14"/>
    </row>
    <row r="29" spans="2:5" x14ac:dyDescent="0.2">
      <c r="B29" s="16">
        <v>2021</v>
      </c>
      <c r="C29" s="11">
        <f>AVERAGE(C30:C33)</f>
        <v>68.716007326066944</v>
      </c>
      <c r="D29" s="11">
        <f>AVERAGE(D30:D33)</f>
        <v>67.230345504697993</v>
      </c>
      <c r="E29" s="11">
        <f>AVERAGE(E30:E33)</f>
        <v>70.411609355888473</v>
      </c>
    </row>
    <row r="30" spans="2:5" x14ac:dyDescent="0.2">
      <c r="B30" s="12" t="s">
        <v>6</v>
      </c>
      <c r="C30" s="13">
        <v>66.654436429984628</v>
      </c>
      <c r="D30" s="14">
        <v>62.705212087818239</v>
      </c>
      <c r="E30" s="14">
        <v>71.174050492594191</v>
      </c>
    </row>
    <row r="31" spans="2:5" x14ac:dyDescent="0.2">
      <c r="B31" s="12" t="s">
        <v>7</v>
      </c>
      <c r="C31" s="13">
        <v>67.012285413158097</v>
      </c>
      <c r="D31" s="14">
        <v>63.52133692608907</v>
      </c>
      <c r="E31" s="14">
        <v>71.001256429145059</v>
      </c>
    </row>
    <row r="32" spans="2:5" x14ac:dyDescent="0.2">
      <c r="B32" s="12" t="s">
        <v>8</v>
      </c>
      <c r="C32" s="13">
        <v>71.341963459773737</v>
      </c>
      <c r="D32" s="14">
        <v>71.519607714544605</v>
      </c>
      <c r="E32" s="14">
        <v>71.130156781854453</v>
      </c>
    </row>
    <row r="33" spans="2:5" x14ac:dyDescent="0.2">
      <c r="B33" s="12" t="s">
        <v>9</v>
      </c>
      <c r="C33" s="13">
        <v>69.855344001351298</v>
      </c>
      <c r="D33" s="14">
        <v>71.17522529034008</v>
      </c>
      <c r="E33" s="14">
        <v>68.340973719960161</v>
      </c>
    </row>
    <row r="34" spans="2:5" x14ac:dyDescent="0.2">
      <c r="B34" s="15"/>
      <c r="C34" s="13"/>
      <c r="D34" s="14"/>
      <c r="E34" s="14"/>
    </row>
    <row r="35" spans="2:5" x14ac:dyDescent="0.2">
      <c r="B35" s="16">
        <v>2022</v>
      </c>
      <c r="C35" s="11">
        <f>AVERAGE(C36:C39)</f>
        <v>70.45336473994017</v>
      </c>
      <c r="D35" s="11">
        <f>AVERAGE(D36:D39)</f>
        <v>69.862591128501961</v>
      </c>
      <c r="E35" s="11">
        <f>AVERAGE(E36:E39)</f>
        <v>71.15707216601416</v>
      </c>
    </row>
    <row r="36" spans="2:5" x14ac:dyDescent="0.2">
      <c r="B36" s="12" t="s">
        <v>6</v>
      </c>
      <c r="C36" s="13">
        <v>71.113374859618801</v>
      </c>
      <c r="D36" s="14">
        <v>69.326570888827206</v>
      </c>
      <c r="E36" s="14">
        <v>73.25073143453541</v>
      </c>
    </row>
    <row r="37" spans="2:5" x14ac:dyDescent="0.2">
      <c r="B37" s="12" t="s">
        <v>7</v>
      </c>
      <c r="C37" s="13">
        <v>72.425277362166156</v>
      </c>
      <c r="D37" s="14">
        <v>71.63264491365743</v>
      </c>
      <c r="E37" s="14">
        <v>73.376147641388783</v>
      </c>
    </row>
    <row r="38" spans="2:5" x14ac:dyDescent="0.2">
      <c r="B38" s="12" t="s">
        <v>8</v>
      </c>
      <c r="C38" s="13">
        <v>69.984393519563952</v>
      </c>
      <c r="D38" s="14">
        <v>72.358143142999282</v>
      </c>
      <c r="E38" s="14">
        <v>67.134946536824259</v>
      </c>
    </row>
    <row r="39" spans="2:5" x14ac:dyDescent="0.2">
      <c r="B39" s="12" t="s">
        <v>9</v>
      </c>
      <c r="C39" s="13">
        <v>68.290413218411771</v>
      </c>
      <c r="D39" s="14">
        <v>66.133005568523927</v>
      </c>
      <c r="E39" s="14">
        <v>70.866463051308202</v>
      </c>
    </row>
    <row r="40" spans="2:5" x14ac:dyDescent="0.2">
      <c r="B40" s="15"/>
      <c r="C40" s="13"/>
      <c r="D40" s="14"/>
      <c r="E40" s="14"/>
    </row>
    <row r="41" spans="2:5" x14ac:dyDescent="0.2">
      <c r="B41" s="16" t="s">
        <v>5</v>
      </c>
      <c r="C41" s="11">
        <f>AVERAGE(C42:C45)</f>
        <v>71.45694697770314</v>
      </c>
      <c r="D41" s="11">
        <f>AVERAGE(D42:D45)</f>
        <v>73.465712753821947</v>
      </c>
      <c r="E41" s="11">
        <f>AVERAGE(E42:E45)</f>
        <v>69.436602225495108</v>
      </c>
    </row>
    <row r="42" spans="2:5" x14ac:dyDescent="0.2">
      <c r="B42" s="12" t="s">
        <v>6</v>
      </c>
      <c r="C42" s="13">
        <v>68.932986666947684</v>
      </c>
      <c r="D42" s="14">
        <v>69.787980877288504</v>
      </c>
      <c r="E42" s="14">
        <v>68.073064078377968</v>
      </c>
    </row>
    <row r="43" spans="2:5" x14ac:dyDescent="0.2">
      <c r="B43" s="12" t="s">
        <v>7</v>
      </c>
      <c r="C43" s="13">
        <v>72.688105767658172</v>
      </c>
      <c r="D43" s="14">
        <v>78.035147858082667</v>
      </c>
      <c r="E43" s="14">
        <v>67.310242128375521</v>
      </c>
    </row>
    <row r="44" spans="2:5" x14ac:dyDescent="0.2">
      <c r="B44" s="12" t="s">
        <v>8</v>
      </c>
      <c r="C44" s="13">
        <v>72.762036828468339</v>
      </c>
      <c r="D44" s="14">
        <v>73.453765372863984</v>
      </c>
      <c r="E44" s="14">
        <v>72.066321005729478</v>
      </c>
    </row>
    <row r="45" spans="2:5" x14ac:dyDescent="0.2">
      <c r="B45" s="12" t="s">
        <v>9</v>
      </c>
      <c r="C45" s="13">
        <v>71.444658647738379</v>
      </c>
      <c r="D45" s="14">
        <v>72.585956907052605</v>
      </c>
      <c r="E45" s="14">
        <v>70.296781689497465</v>
      </c>
    </row>
    <row r="46" spans="2:5" x14ac:dyDescent="0.2">
      <c r="B46" s="15"/>
      <c r="C46" s="13"/>
      <c r="D46" s="14"/>
      <c r="E46" s="14"/>
    </row>
    <row r="47" spans="2:5" x14ac:dyDescent="0.2">
      <c r="B47" s="16" t="s">
        <v>4</v>
      </c>
      <c r="C47" s="11">
        <f>AVERAGE(C48:C51)</f>
        <v>68.557525195672781</v>
      </c>
      <c r="D47" s="11">
        <f>AVERAGE(D48:D51)</f>
        <v>68.098978180787725</v>
      </c>
      <c r="E47" s="11">
        <f>AVERAGE(E48:E51)</f>
        <v>69.041953416173712</v>
      </c>
    </row>
    <row r="48" spans="2:5" x14ac:dyDescent="0.2">
      <c r="B48" s="12" t="s">
        <v>6</v>
      </c>
      <c r="C48" s="13">
        <v>70.214266151248523</v>
      </c>
      <c r="D48" s="14">
        <v>70.405975989946555</v>
      </c>
      <c r="E48" s="14">
        <v>70.011735869732661</v>
      </c>
    </row>
    <row r="49" spans="2:5" x14ac:dyDescent="0.2">
      <c r="B49" s="12" t="s">
        <v>7</v>
      </c>
      <c r="C49" s="13">
        <v>69.620986102849869</v>
      </c>
      <c r="D49" s="14">
        <v>70.750800068252843</v>
      </c>
      <c r="E49" s="14">
        <v>68.427403436317107</v>
      </c>
    </row>
    <row r="50" spans="2:5" x14ac:dyDescent="0.2">
      <c r="B50" s="12" t="s">
        <v>8</v>
      </c>
      <c r="C50" s="13">
        <v>71.015264056593807</v>
      </c>
      <c r="D50" s="14">
        <v>71.525511987870203</v>
      </c>
      <c r="E50" s="14">
        <v>70.476216828417321</v>
      </c>
    </row>
    <row r="51" spans="2:5" x14ac:dyDescent="0.2">
      <c r="B51" s="12" t="s">
        <v>9</v>
      </c>
      <c r="C51" s="13">
        <v>63.379584471998882</v>
      </c>
      <c r="D51" s="14">
        <v>59.713624677081292</v>
      </c>
      <c r="E51" s="14">
        <v>67.252457530227801</v>
      </c>
    </row>
    <row r="52" spans="2:5" x14ac:dyDescent="0.2">
      <c r="B52" s="15"/>
      <c r="C52" s="13"/>
      <c r="D52" s="14"/>
      <c r="E52" s="14"/>
    </row>
    <row r="53" spans="2:5" x14ac:dyDescent="0.2">
      <c r="B53" s="16" t="s">
        <v>3</v>
      </c>
      <c r="C53" s="11">
        <f>AVERAGE(C54:C57)</f>
        <v>68.03787824297774</v>
      </c>
      <c r="D53" s="11">
        <f>AVERAGE(D54:D57)</f>
        <v>70.657320949140967</v>
      </c>
      <c r="E53" s="11">
        <f>AVERAGE(E54:E57)</f>
        <v>65.169259190560226</v>
      </c>
    </row>
    <row r="54" spans="2:5" x14ac:dyDescent="0.2">
      <c r="B54" s="12" t="s">
        <v>6</v>
      </c>
      <c r="C54" s="13">
        <v>63.092483277655667</v>
      </c>
      <c r="D54" s="14">
        <v>65.311355017390085</v>
      </c>
      <c r="E54" s="14">
        <v>60.662539789104898</v>
      </c>
    </row>
    <row r="55" spans="2:5" x14ac:dyDescent="0.2">
      <c r="B55" s="12" t="s">
        <v>7</v>
      </c>
      <c r="C55" s="13">
        <v>69.536676648611675</v>
      </c>
      <c r="D55" s="14">
        <v>70.481428340659008</v>
      </c>
      <c r="E55" s="14">
        <v>68.502054781435916</v>
      </c>
    </row>
    <row r="56" spans="2:5" x14ac:dyDescent="0.2">
      <c r="B56" s="12" t="s">
        <v>8</v>
      </c>
      <c r="C56" s="13">
        <v>70.728472963168215</v>
      </c>
      <c r="D56" s="14">
        <v>75.481130473749531</v>
      </c>
      <c r="E56" s="14">
        <v>65.523715534272824</v>
      </c>
    </row>
    <row r="57" spans="2:5" x14ac:dyDescent="0.2">
      <c r="B57" s="12" t="s">
        <v>8</v>
      </c>
      <c r="C57" s="13">
        <v>68.793880082475454</v>
      </c>
      <c r="D57" s="14">
        <v>71.355369964765231</v>
      </c>
      <c r="E57" s="14">
        <v>65.98872665742725</v>
      </c>
    </row>
    <row r="58" spans="2:5" x14ac:dyDescent="0.2">
      <c r="B58" s="15"/>
      <c r="C58" s="13"/>
      <c r="D58" s="14"/>
      <c r="E58" s="14"/>
    </row>
    <row r="59" spans="2:5" x14ac:dyDescent="0.2">
      <c r="B59" s="16" t="s">
        <v>16</v>
      </c>
      <c r="C59" s="11">
        <f>AVERAGE(C61:C64)</f>
        <v>61.851034123892298</v>
      </c>
      <c r="D59" s="11">
        <f>AVERAGE(D61:D64)</f>
        <v>65.589341557790661</v>
      </c>
      <c r="E59" s="11">
        <f>AVERAGE(E61:E64)</f>
        <v>57.485470137318607</v>
      </c>
    </row>
    <row r="60" spans="2:5" x14ac:dyDescent="0.2">
      <c r="B60" s="12" t="s">
        <v>6</v>
      </c>
      <c r="C60" s="13">
        <v>64.790880829072165</v>
      </c>
      <c r="D60" s="14">
        <v>65.239043009704261</v>
      </c>
      <c r="E60" s="14">
        <v>64.267520803042544</v>
      </c>
    </row>
    <row r="61" spans="2:5" x14ac:dyDescent="0.2">
      <c r="B61" s="12" t="s">
        <v>17</v>
      </c>
      <c r="C61" s="13">
        <v>61.851034123892298</v>
      </c>
      <c r="D61" s="14">
        <v>65.589341557790661</v>
      </c>
      <c r="E61" s="14">
        <v>57.485470137318607</v>
      </c>
    </row>
    <row r="62" spans="2:5" ht="11.25" customHeight="1" x14ac:dyDescent="0.2">
      <c r="B62" s="19" t="s">
        <v>11</v>
      </c>
      <c r="C62" s="20"/>
      <c r="D62" s="20"/>
      <c r="E62" s="20"/>
    </row>
    <row r="63" spans="2:5" ht="11.25" customHeight="1" x14ac:dyDescent="0.2">
      <c r="B63" s="6" t="s">
        <v>0</v>
      </c>
    </row>
    <row r="64" spans="2:5" ht="11.25" customHeight="1" x14ac:dyDescent="0.2">
      <c r="B64" s="6" t="s">
        <v>1</v>
      </c>
    </row>
    <row r="66" spans="2:5" x14ac:dyDescent="0.2">
      <c r="B66" s="21"/>
      <c r="C66" s="21"/>
      <c r="D66" s="21"/>
      <c r="E66" s="21"/>
    </row>
  </sheetData>
  <mergeCells count="2">
    <mergeCell ref="B66:E66"/>
    <mergeCell ref="B2:E2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cuadro_1</vt:lpstr>
      <vt:lpstr>cuadro_1!Área_de_impresión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JPEREZ</dc:creator>
  <cp:lastModifiedBy>Gladys Cortez Cantuta</cp:lastModifiedBy>
  <cp:lastPrinted>2021-12-20T23:14:10Z</cp:lastPrinted>
  <dcterms:created xsi:type="dcterms:W3CDTF">2003-12-08T19:00:41Z</dcterms:created>
  <dcterms:modified xsi:type="dcterms:W3CDTF">2026-08-27T15:44:09Z</dcterms:modified>
</cp:coreProperties>
</file>